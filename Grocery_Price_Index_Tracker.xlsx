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ogress Tracker" sheetId="2" state="visible" r:id="rId4"/>
    <sheet name="Basket of Goods" sheetId="3" state="visible" r:id="rId5"/>
    <sheet name="Store List" sheetId="4" state="visible" r:id="rId6"/>
    <sheet name="Price Data" sheetId="5" state="visible" r:id="rId7"/>
    <sheet name="Analysis" sheetId="6" state="visible" r:id="rId8"/>
    <sheet name="Coverage Matrix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<sst xmlns="http://schemas.openxmlformats.org/spreadsheetml/2006/main" count="386" uniqueCount="234">
  <si>
    <t xml:space="preserve">Bushwick Grocery Price Index Master Tracker</t>
  </si>
  <si>
    <t xml:space="preserve">The live spine of the project. Summer 2026.</t>
  </si>
  <si>
    <t xml:space="preserve">Tabs in this workbook</t>
  </si>
  <si>
    <t xml:space="preserve">Progress Tracker</t>
  </si>
  <si>
    <t xml:space="preserve">Every phase/deliverable, its owner, status, due date, and link. Update as you go.</t>
  </si>
  <si>
    <t xml:space="preserve">Basket of Goods</t>
  </si>
  <si>
    <t xml:space="preserve">the seeded master item list from the prior BD pieces. Lock brand/size specs here in Phase 3.</t>
  </si>
  <si>
    <t xml:space="preserve">Store List</t>
  </si>
  <si>
    <t xml:space="preserve">the seeded store universe. Verify each is open, add bodegas, assign, and schedule.</t>
  </si>
  <si>
    <t xml:space="preserve">Price Data</t>
  </si>
  <si>
    <t xml:space="preserve">The field-collection sheet. The Google Form writes here, or type rows in directly. Source of truth.</t>
  </si>
  <si>
    <t xml:space="preserve">Analysis</t>
  </si>
  <si>
    <t xml:space="preserve">Auto-calculates each store's basket total and the index. Nothing to fill in; it reads Price Data.</t>
  </si>
  <si>
    <t xml:space="preserve">Coverage Matrix</t>
  </si>
  <si>
    <t xml:space="preserve">Store × item grid so the Editor sees which prices are still missing. Auto-calculated.</t>
  </si>
  <si>
    <t xml:space="preserve">How the pipeline flows</t>
  </si>
  <si>
    <t xml:space="preserve">1</t>
  </si>
  <si>
    <t xml:space="preserve">Fill each phase's template in its Drive folder, save it, then mark the row 'Submitted' here.</t>
  </si>
  <si>
    <t xml:space="preserve">2</t>
  </si>
  <si>
    <t xml:space="preserve">Coordinator reviews; Editor approves. Don't start the next phase until approved.</t>
  </si>
  <si>
    <t xml:space="preserve">3</t>
  </si>
  <si>
    <t xml:space="preserve">In the field, log one Form submission per item per store (price + 2 photos).</t>
  </si>
  <si>
    <t xml:space="preserve">4</t>
  </si>
  <si>
    <t xml:space="preserve">Check the Coverage Matrix each evening to see what's left.</t>
  </si>
  <si>
    <t xml:space="preserve">5</t>
  </si>
  <si>
    <t xml:space="preserve">Analysis gives you the numbers; write the Findings Memo, then the article.</t>
  </si>
  <si>
    <t xml:space="preserve">Standards that keep it honest</t>
  </si>
  <si>
    <t xml:space="preserve">Same everything</t>
  </si>
  <si>
    <t xml:space="preserve">Same basket, same specs, same week, at every store.</t>
  </si>
  <si>
    <t xml:space="preserve">Price type</t>
  </si>
  <si>
    <t xml:space="preserve">Log the REGULAR shelf price as primary (the Analysis basket total sums 'Regular' rows).</t>
  </si>
  <si>
    <t xml:space="preserve">One row per cell</t>
  </si>
  <si>
    <t xml:space="preserve">Exactly one 'Regular' price per item per store; the Coverage Matrix should read 1 in every cell.</t>
  </si>
  <si>
    <t xml:space="preserve">Trace everything</t>
  </si>
  <si>
    <t xml:space="preserve">Every number ties to a Price Data row and a photo. Every quote ties to a named source.</t>
  </si>
  <si>
    <t xml:space="preserve">Update Status and Link as each deliverable moves.</t>
  </si>
  <si>
    <t xml:space="preserve">Phase</t>
  </si>
  <si>
    <t xml:space="preserve">Deliverable</t>
  </si>
  <si>
    <t xml:space="preserve">Owner</t>
  </si>
  <si>
    <t xml:space="preserve">Status</t>
  </si>
  <si>
    <t xml:space="preserve">Due</t>
  </si>
  <si>
    <t xml:space="preserve">Link (Drive)</t>
  </si>
  <si>
    <t xml:space="preserve">Notes</t>
  </si>
  <si>
    <t xml:space="preserve">Research Brief</t>
  </si>
  <si>
    <t xml:space="preserve">Not started</t>
  </si>
  <si>
    <t xml:space="preserve">Jul 8</t>
  </si>
  <si>
    <t xml:space="preserve">Story Pitch</t>
  </si>
  <si>
    <t xml:space="preserve">Methodology &amp; Field Plan</t>
  </si>
  <si>
    <t xml:space="preserve">Jul 9</t>
  </si>
  <si>
    <t xml:space="preserve">Basket locked (this workbook)</t>
  </si>
  <si>
    <t xml:space="preserve">Store list + map locked</t>
  </si>
  <si>
    <t xml:space="preserve">Price data collected (Form)</t>
  </si>
  <si>
    <t xml:space="preserve">Jul 12</t>
  </si>
  <si>
    <t xml:space="preserve">Findings Memo</t>
  </si>
  <si>
    <t xml:space="preserve">Jul 13</t>
  </si>
  <si>
    <t xml:space="preserve">6</t>
  </si>
  <si>
    <t xml:space="preserve">Source &amp; Interview Log</t>
  </si>
  <si>
    <t xml:space="preserve">Jul 14</t>
  </si>
  <si>
    <t xml:space="preserve">Fact-check complete</t>
  </si>
  <si>
    <t xml:space="preserve">Jul 15</t>
  </si>
  <si>
    <t xml:space="preserve">7</t>
  </si>
  <si>
    <t xml:space="preserve">Article Draft</t>
  </si>
  <si>
    <t xml:space="preserve">8</t>
  </si>
  <si>
    <t xml:space="preserve">Social &amp; Promotion Package</t>
  </si>
  <si>
    <t xml:space="preserve">9</t>
  </si>
  <si>
    <t xml:space="preserve">Published + posted + retro</t>
  </si>
  <si>
    <t xml:space="preserve">Basket of Goods (seeded from prior BD pieces)</t>
  </si>
  <si>
    <t xml:space="preserve">Keep every item unless justified. Lock Brand rule + Size/unit in Phase 3.</t>
  </si>
  <si>
    <t xml:space="preserve">Item</t>
  </si>
  <si>
    <t xml:space="preserve">Category</t>
  </si>
  <si>
    <t xml:space="preserve">Include?</t>
  </si>
  <si>
    <t xml:space="preserve">Brand rule</t>
  </si>
  <si>
    <t xml:space="preserve">Size / unit + price basis</t>
  </si>
  <si>
    <t xml:space="preserve">Source</t>
  </si>
  <si>
    <t xml:space="preserve">Apples</t>
  </si>
  <si>
    <t xml:space="preserve">Produce</t>
  </si>
  <si>
    <t xml:space="preserve">Y</t>
  </si>
  <si>
    <t xml:space="preserve">per lb (loose)</t>
  </si>
  <si>
    <t xml:space="preserve">closest common variety</t>
  </si>
  <si>
    <t xml:space="preserve">2017</t>
  </si>
  <si>
    <t xml:space="preserve">Bananas</t>
  </si>
  <si>
    <t xml:space="preserve">per lb</t>
  </si>
  <si>
    <t xml:space="preserve">conventional</t>
  </si>
  <si>
    <t xml:space="preserve">2021</t>
  </si>
  <si>
    <t xml:space="preserve">Carrots</t>
  </si>
  <si>
    <t xml:space="preserve">1 lb / per lb</t>
  </si>
  <si>
    <t xml:space="preserve">loose or 1-lb bag</t>
  </si>
  <si>
    <t xml:space="preserve">Tomatoes</t>
  </si>
  <si>
    <t xml:space="preserve">on-the-vine or roma</t>
  </si>
  <si>
    <t xml:space="preserve">Kale</t>
  </si>
  <si>
    <t xml:space="preserve">1 bunch</t>
  </si>
  <si>
    <t xml:space="preserve">curly</t>
  </si>
  <si>
    <t xml:space="preserve">2017/2021</t>
  </si>
  <si>
    <t xml:space="preserve">Spinach</t>
  </si>
  <si>
    <t xml:space="preserve">1 bunch or bag</t>
  </si>
  <si>
    <t xml:space="preserve">note bunch vs bag</t>
  </si>
  <si>
    <t xml:space="preserve">Bread</t>
  </si>
  <si>
    <t xml:space="preserve">Pantry</t>
  </si>
  <si>
    <t xml:space="preserve">1 standard loaf</t>
  </si>
  <si>
    <t xml:space="preserve">sliced sandwich loaf</t>
  </si>
  <si>
    <t xml:space="preserve">Peanut butter</t>
  </si>
  <si>
    <t xml:space="preserve">16 oz jar</t>
  </si>
  <si>
    <t xml:space="preserve">hold one brand</t>
  </si>
  <si>
    <t xml:space="preserve">Honey</t>
  </si>
  <si>
    <t xml:space="preserve">N?</t>
  </si>
  <si>
    <t xml:space="preserve">12 oz</t>
  </si>
  <si>
    <t xml:space="preserve">optional, decide</t>
  </si>
  <si>
    <t xml:space="preserve">Rice</t>
  </si>
  <si>
    <t xml:space="preserve">2 lb bag</t>
  </si>
  <si>
    <t xml:space="preserve">white long-grain</t>
  </si>
  <si>
    <t xml:space="preserve">Coffee</t>
  </si>
  <si>
    <t xml:space="preserve">12 oz ground</t>
  </si>
  <si>
    <t xml:space="preserve">hold one brand/size</t>
  </si>
  <si>
    <t xml:space="preserve">Canned black beans</t>
  </si>
  <si>
    <t xml:space="preserve">15-15.5 oz can</t>
  </si>
  <si>
    <t xml:space="preserve">store/common brand</t>
  </si>
  <si>
    <t xml:space="preserve">Milk</t>
  </si>
  <si>
    <t xml:space="preserve">Dairy</t>
  </si>
  <si>
    <t xml:space="preserve">half gallon</t>
  </si>
  <si>
    <t xml:space="preserve">2% store brand</t>
  </si>
  <si>
    <t xml:space="preserve">Half &amp; half</t>
  </si>
  <si>
    <t xml:space="preserve">1 pint</t>
  </si>
  <si>
    <t xml:space="preserve">legacy, optional</t>
  </si>
  <si>
    <t xml:space="preserve">Butter</t>
  </si>
  <si>
    <t xml:space="preserve">1 lb (4 sticks)</t>
  </si>
  <si>
    <t xml:space="preserve">salted</t>
  </si>
  <si>
    <t xml:space="preserve">Cheddar cheese</t>
  </si>
  <si>
    <t xml:space="preserve">8 oz block</t>
  </si>
  <si>
    <t xml:space="preserve">hold one</t>
  </si>
  <si>
    <t xml:space="preserve">Greek yogurt</t>
  </si>
  <si>
    <t xml:space="preserve">single tub (note oz)</t>
  </si>
  <si>
    <t xml:space="preserve">plain</t>
  </si>
  <si>
    <t xml:space="preserve">Eggs</t>
  </si>
  <si>
    <t xml:space="preserve">1 dozen large</t>
  </si>
  <si>
    <t xml:space="preserve">Tofu</t>
  </si>
  <si>
    <t xml:space="preserve">Protein</t>
  </si>
  <si>
    <t xml:space="preserve">14-16 oz block</t>
  </si>
  <si>
    <t xml:space="preserve">firm</t>
  </si>
  <si>
    <t xml:space="preserve">Chicken breast</t>
  </si>
  <si>
    <t xml:space="preserve">boneless skinless</t>
  </si>
  <si>
    <t xml:space="preserve">Beer (Six Point Sweet Action)</t>
  </si>
  <si>
    <t xml:space="preserve">Other</t>
  </si>
  <si>
    <t xml:space="preserve">6-pack</t>
  </si>
  <si>
    <t xml:space="preserve">shelf tag only; do not buy (age)</t>
  </si>
  <si>
    <t xml:space="preserve">Store List (seeded: verify, assign, schedule)</t>
  </si>
  <si>
    <t xml:space="preserve">Verify each store is open. Add bodegas. Assign each to an intern; set a visit date.</t>
  </si>
  <si>
    <t xml:space="preserve">Store</t>
  </si>
  <si>
    <t xml:space="preserve">Address</t>
  </si>
  <si>
    <t xml:space="preserve">Type / tier</t>
  </si>
  <si>
    <t xml:space="preserve">$</t>
  </si>
  <si>
    <t xml:space="preserve">Still open? (verify)</t>
  </si>
  <si>
    <t xml:space="preserve">Assigned to</t>
  </si>
  <si>
    <t xml:space="preserve">Planned visit</t>
  </si>
  <si>
    <t xml:space="preserve">Food Bazaar</t>
  </si>
  <si>
    <t xml:space="preserve">1590 Gates Ave (also 454 Wyckoff Ave)</t>
  </si>
  <si>
    <t xml:space="preserve">Large discount chain</t>
  </si>
  <si>
    <t xml:space="preserve">verify</t>
  </si>
  <si>
    <t xml:space="preserve">Key Food</t>
  </si>
  <si>
    <t xml:space="preserve">72-82 Wyckoff Ave (also 1533 Broadway)</t>
  </si>
  <si>
    <t xml:space="preserve">Mid supermarket (Urban Meadow)</t>
  </si>
  <si>
    <t xml:space="preserve">$$</t>
  </si>
  <si>
    <t xml:space="preserve">City Fresh Market</t>
  </si>
  <si>
    <t xml:space="preserve">229 Knickerbocker Ave</t>
  </si>
  <si>
    <t xml:space="preserve">Mid supermarket (fan favorite)</t>
  </si>
  <si>
    <t xml:space="preserve">Associated Supermarket</t>
  </si>
  <si>
    <t xml:space="preserve">333 Seneca Ave, Ridgewood</t>
  </si>
  <si>
    <t xml:space="preserve">Mid / affordable chain</t>
  </si>
  <si>
    <t xml:space="preserve">Shop Fair</t>
  </si>
  <si>
    <t xml:space="preserve">920 Seneca Ave, Ridgewood</t>
  </si>
  <si>
    <t xml:space="preserve">Mid supermarket</t>
  </si>
  <si>
    <t xml:space="preserve">Met Fresh</t>
  </si>
  <si>
    <t xml:space="preserve">1381 Myrtle Ave</t>
  </si>
  <si>
    <t xml:space="preserve">Small family-owned</t>
  </si>
  <si>
    <t xml:space="preserve">Billy's Marketplace (C-Town)</t>
  </si>
  <si>
    <t xml:space="preserve">870 Cypress Ave, Ridgewood</t>
  </si>
  <si>
    <t xml:space="preserve">Mr. Kiwi's (Mr. Fruit)</t>
  </si>
  <si>
    <t xml:space="preserve">957 Broadway</t>
  </si>
  <si>
    <t xml:space="preserve">Produce-focused mini grocery</t>
  </si>
  <si>
    <t xml:space="preserve">Mr. Lemon (Mr. Fruit)</t>
  </si>
  <si>
    <t xml:space="preserve">410 Knickerbocker Ave</t>
  </si>
  <si>
    <t xml:space="preserve">Food Story Natural Market</t>
  </si>
  <si>
    <t xml:space="preserve">40 Bogart St (also 1552 Myrtle Ave)</t>
  </si>
  <si>
    <t xml:space="preserve">Premium / natural specialty</t>
  </si>
  <si>
    <t xml:space="preserve">$$$</t>
  </si>
  <si>
    <t xml:space="preserve">Hana Natural</t>
  </si>
  <si>
    <t xml:space="preserve">24 Wyckoff Ave</t>
  </si>
  <si>
    <t xml:space="preserve">Premium / organic specialty</t>
  </si>
  <si>
    <t xml:space="preserve">Whole Foods</t>
  </si>
  <si>
    <t xml:space="preserve">Williamsburg (238 Bedford) + verify Bushwick loc.</t>
  </si>
  <si>
    <t xml:space="preserve">National premium (Amazon)</t>
  </si>
  <si>
    <t xml:space="preserve">Brooklyn's Natural</t>
  </si>
  <si>
    <t xml:space="preserve">49 Bogart St</t>
  </si>
  <si>
    <t xml:space="preserve">Premium / natural</t>
  </si>
  <si>
    <t xml:space="preserve">VERIFY may be closed</t>
  </si>
  <si>
    <t xml:space="preserve">Bodega #1 (choose)</t>
  </si>
  <si>
    <t xml:space="preserve">Bodega</t>
  </si>
  <si>
    <t xml:space="preserve">Bodega #2 (choose)</t>
  </si>
  <si>
    <t xml:space="preserve">Delivery app (if in scope)</t>
  </si>
  <si>
    <t xml:space="preserve">Amazon Fresh/WF, Instacart, etc.</t>
  </si>
  <si>
    <t xml:space="preserve">Delivery app</t>
  </si>
  <si>
    <t xml:space="preserve">n/a</t>
  </si>
  <si>
    <t xml:space="preserve">Price Data: field collection (source of truth)</t>
  </si>
  <si>
    <t xml:space="preserve">One row = one item at one store. The Google Form writes here. Log the REGULAR shelf price as primary.</t>
  </si>
  <si>
    <t xml:space="preserve">Timestamp</t>
  </si>
  <si>
    <t xml:space="preserve">Collector</t>
  </si>
  <si>
    <t xml:space="preserve">Store type</t>
  </si>
  <si>
    <t xml:space="preserve">Date collected</t>
  </si>
  <si>
    <t xml:space="preserve">Brand found</t>
  </si>
  <si>
    <t xml:space="preserve">Size/unit found</t>
  </si>
  <si>
    <t xml:space="preserve">Price ($)</t>
  </si>
  <si>
    <t xml:space="preserve">In stock?</t>
  </si>
  <si>
    <t xml:space="preserve">Product photo (link)</t>
  </si>
  <si>
    <t xml:space="preserve">Price-tag photo (link)</t>
  </si>
  <si>
    <t xml:space="preserve">(auto)</t>
  </si>
  <si>
    <t xml:space="preserve">Alex</t>
  </si>
  <si>
    <t xml:space="preserve">2026-07-10</t>
  </si>
  <si>
    <t xml:space="preserve">Sunshine Farms</t>
  </si>
  <si>
    <t xml:space="preserve">12 ct</t>
  </si>
  <si>
    <t xml:space="preserve">Regular</t>
  </si>
  <si>
    <t xml:space="preserve">Yes</t>
  </si>
  <si>
    <t xml:space="preserve">(photo link)</t>
  </si>
  <si>
    <t xml:space="preserve">example row, delete</t>
  </si>
  <si>
    <t xml:space="preserve">Sam</t>
  </si>
  <si>
    <t xml:space="preserve">Cream-O-Land</t>
  </si>
  <si>
    <t xml:space="preserve">Analysis: basket totals &amp; index (auto)</t>
  </si>
  <si>
    <t xml:space="preserve">Reads Price Data. Sums 'Regular' prices per store. Fill nothing here.</t>
  </si>
  <si>
    <t xml:space="preserve">Target basket size (# included):</t>
  </si>
  <si>
    <t xml:space="preserve">Cheapest basket (min &gt; 0):</t>
  </si>
  <si>
    <t xml:space="preserve">Basket total ($)</t>
  </si>
  <si>
    <t xml:space="preserve">Items priced</t>
  </si>
  <si>
    <t xml:space="preserve">Complete?</t>
  </si>
  <si>
    <t xml:space="preserve">Index (cheapest=100)</t>
  </si>
  <si>
    <t xml:space="preserve">Coverage Matrix: what's still missing (auto)</t>
  </si>
  <si>
    <t xml:space="preserve">Each cell = # of 'Regular' prices logged for that store × item. Aim for 1 in every cell. 0 = go get it.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</si>
</sst>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B02A1E"/>
      <name val="Arial"/>
      <family val="0"/>
      <charset val="1"/>
    </font>
    <font>
      <i val="true"/>
      <sz val="9"/>
      <color rgb="FF6A6A6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B02A1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A6A6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02A1E"/>
        <bgColor rgb="FF993366"/>
      </patternFill>
    </fill>
    <fill>
      <patternFill patternType="solid">
        <fgColor rgb="FFF4F1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CCC4"/>
      </left>
      <right style="thin">
        <color rgb="FFD3CCC4"/>
      </right>
      <top style="thin">
        <color rgb="FFD3CCC4"/>
      </top>
      <bottom style="thin">
        <color rgb="FFD3CC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6DAD6"/>
        </patternFill>
      </fill>
    </dxf>
    <dxf>
      <fill>
        <patternFill>
          <bgColor rgb="FFDDEF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CCC4"/>
      <rgbColor rgb="FF808080"/>
      <rgbColor rgb="FF9999FF"/>
      <rgbColor rgb="FF993366"/>
      <rgbColor rgb="FFF4F1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FD9"/>
      <rgbColor rgb="FFFFFF99"/>
      <rgbColor rgb="FF99CCFF"/>
      <rgbColor rgb="FFFF99CC"/>
      <rgbColor rgb="FFCC99FF"/>
      <rgbColor rgb="FFF6DAD6"/>
      <rgbColor rgb="FF3366FF"/>
      <rgbColor rgb="FF33CCCC"/>
      <rgbColor rgb="FF99CC00"/>
      <rgbColor rgb="FFFFCC00"/>
      <rgbColor rgb="FFFF9900"/>
      <rgbColor rgb="FFFF6600"/>
      <rgbColor rgb="FF6A6A6A"/>
      <rgbColor rgb="FF969696"/>
      <rgbColor rgb="FF003366"/>
      <rgbColor rgb="FF339966"/>
      <rgbColor rgb="FF003300"/>
      <rgbColor rgb="FF333300"/>
      <rgbColor rgb="FFB02A1E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4"/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/>
      <c r="B11" s="4"/>
    </row>
    <row r="12" customFormat="false" ht="15" hidden="false" customHeight="false" outlineLevel="0" collapsed="false">
      <c r="A12" s="5" t="s">
        <v>15</v>
      </c>
      <c r="B12" s="4"/>
    </row>
    <row r="13" customFormat="false" ht="15" hidden="false" customHeight="false" outlineLevel="0" collapsed="false">
      <c r="A13" s="3" t="s">
        <v>16</v>
      </c>
      <c r="B13" s="4" t="s">
        <v>17</v>
      </c>
    </row>
    <row r="14" customFormat="false" ht="15" hidden="false" customHeight="false" outlineLevel="0" collapsed="false">
      <c r="A14" s="3" t="s">
        <v>18</v>
      </c>
      <c r="B14" s="4" t="s">
        <v>19</v>
      </c>
    </row>
    <row r="15" customFormat="false" ht="15" hidden="false" customHeight="false" outlineLevel="0" collapsed="false">
      <c r="A15" s="3" t="s">
        <v>20</v>
      </c>
      <c r="B15" s="4" t="s">
        <v>21</v>
      </c>
    </row>
    <row r="16" customFormat="false" ht="15" hidden="false" customHeight="false" outlineLevel="0" collapsed="false">
      <c r="A16" s="3" t="s">
        <v>22</v>
      </c>
      <c r="B16" s="4" t="s">
        <v>23</v>
      </c>
    </row>
    <row r="17" customFormat="false" ht="15" hidden="false" customHeight="false" outlineLevel="0" collapsed="false">
      <c r="A17" s="3" t="s">
        <v>24</v>
      </c>
      <c r="B17" s="4" t="s">
        <v>25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5" t="s">
        <v>26</v>
      </c>
      <c r="B19" s="4"/>
    </row>
    <row r="20" customFormat="false" ht="15" hidden="false" customHeight="false" outlineLevel="0" collapsed="false">
      <c r="A20" s="3" t="s">
        <v>27</v>
      </c>
      <c r="B20" s="4" t="s">
        <v>28</v>
      </c>
    </row>
    <row r="21" customFormat="false" ht="15" hidden="false" customHeight="false" outlineLevel="0" collapsed="false">
      <c r="A21" s="3" t="s">
        <v>29</v>
      </c>
      <c r="B21" s="4" t="s">
        <v>30</v>
      </c>
    </row>
    <row r="22" customFormat="false" ht="15" hidden="false" customHeight="false" outlineLevel="0" collapsed="false">
      <c r="A22" s="3" t="s">
        <v>31</v>
      </c>
      <c r="B22" s="4" t="s">
        <v>32</v>
      </c>
    </row>
    <row r="23" customFormat="false" ht="15" hidden="false" customHeight="false" outlineLevel="0" collapsed="false">
      <c r="A23" s="3" t="s">
        <v>33</v>
      </c>
      <c r="B23" s="4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6" t="s">
        <v>36</v>
      </c>
      <c r="B4" s="6" t="s">
        <v>37</v>
      </c>
      <c r="C4" s="6" t="s">
        <v>38</v>
      </c>
      <c r="D4" s="6" t="s">
        <v>39</v>
      </c>
      <c r="E4" s="6" t="s">
        <v>40</v>
      </c>
      <c r="F4" s="6" t="s">
        <v>41</v>
      </c>
      <c r="G4" s="6" t="s">
        <v>42</v>
      </c>
    </row>
    <row r="5" customFormat="false" ht="15" hidden="false" customHeight="false" outlineLevel="0" collapsed="false">
      <c r="A5" s="7" t="s">
        <v>16</v>
      </c>
      <c r="B5" s="7" t="s">
        <v>43</v>
      </c>
      <c r="C5" s="7"/>
      <c r="D5" s="7" t="s">
        <v>44</v>
      </c>
      <c r="E5" s="7" t="s">
        <v>45</v>
      </c>
      <c r="F5" s="7"/>
      <c r="G5" s="7"/>
    </row>
    <row r="6" customFormat="false" ht="15" hidden="false" customHeight="false" outlineLevel="0" collapsed="false">
      <c r="A6" s="8" t="s">
        <v>18</v>
      </c>
      <c r="B6" s="8" t="s">
        <v>46</v>
      </c>
      <c r="C6" s="8"/>
      <c r="D6" s="8" t="s">
        <v>44</v>
      </c>
      <c r="E6" s="8" t="s">
        <v>45</v>
      </c>
      <c r="F6" s="8"/>
      <c r="G6" s="8"/>
    </row>
    <row r="7" customFormat="false" ht="15" hidden="false" customHeight="false" outlineLevel="0" collapsed="false">
      <c r="A7" s="7" t="s">
        <v>20</v>
      </c>
      <c r="B7" s="7" t="s">
        <v>47</v>
      </c>
      <c r="C7" s="7"/>
      <c r="D7" s="7" t="s">
        <v>44</v>
      </c>
      <c r="E7" s="7" t="s">
        <v>48</v>
      </c>
      <c r="F7" s="7"/>
      <c r="G7" s="7"/>
    </row>
    <row r="8" customFormat="false" ht="15" hidden="false" customHeight="false" outlineLevel="0" collapsed="false">
      <c r="A8" s="8" t="s">
        <v>20</v>
      </c>
      <c r="B8" s="8" t="s">
        <v>49</v>
      </c>
      <c r="C8" s="8"/>
      <c r="D8" s="8" t="s">
        <v>44</v>
      </c>
      <c r="E8" s="8" t="s">
        <v>48</v>
      </c>
      <c r="F8" s="8"/>
      <c r="G8" s="8"/>
    </row>
    <row r="9" customFormat="false" ht="15" hidden="false" customHeight="false" outlineLevel="0" collapsed="false">
      <c r="A9" s="7" t="s">
        <v>20</v>
      </c>
      <c r="B9" s="7" t="s">
        <v>50</v>
      </c>
      <c r="C9" s="7"/>
      <c r="D9" s="7" t="s">
        <v>44</v>
      </c>
      <c r="E9" s="7" t="s">
        <v>48</v>
      </c>
      <c r="F9" s="7"/>
      <c r="G9" s="7"/>
    </row>
    <row r="10" customFormat="false" ht="15" hidden="false" customHeight="false" outlineLevel="0" collapsed="false">
      <c r="A10" s="8" t="s">
        <v>22</v>
      </c>
      <c r="B10" s="8" t="s">
        <v>51</v>
      </c>
      <c r="C10" s="8"/>
      <c r="D10" s="8" t="s">
        <v>44</v>
      </c>
      <c r="E10" s="8" t="s">
        <v>52</v>
      </c>
      <c r="F10" s="8"/>
      <c r="G10" s="8"/>
    </row>
    <row r="11" customFormat="false" ht="15" hidden="false" customHeight="false" outlineLevel="0" collapsed="false">
      <c r="A11" s="7" t="s">
        <v>24</v>
      </c>
      <c r="B11" s="7" t="s">
        <v>53</v>
      </c>
      <c r="C11" s="7"/>
      <c r="D11" s="7" t="s">
        <v>44</v>
      </c>
      <c r="E11" s="7" t="s">
        <v>54</v>
      </c>
      <c r="F11" s="7"/>
      <c r="G11" s="7"/>
    </row>
    <row r="12" customFormat="false" ht="15" hidden="false" customHeight="false" outlineLevel="0" collapsed="false">
      <c r="A12" s="8" t="s">
        <v>55</v>
      </c>
      <c r="B12" s="8" t="s">
        <v>56</v>
      </c>
      <c r="C12" s="8"/>
      <c r="D12" s="8" t="s">
        <v>44</v>
      </c>
      <c r="E12" s="8" t="s">
        <v>57</v>
      </c>
      <c r="F12" s="8"/>
      <c r="G12" s="8"/>
    </row>
    <row r="13" customFormat="false" ht="15" hidden="false" customHeight="false" outlineLevel="0" collapsed="false">
      <c r="A13" s="7" t="s">
        <v>55</v>
      </c>
      <c r="B13" s="7" t="s">
        <v>58</v>
      </c>
      <c r="C13" s="7"/>
      <c r="D13" s="7" t="s">
        <v>44</v>
      </c>
      <c r="E13" s="7" t="s">
        <v>59</v>
      </c>
      <c r="F13" s="7"/>
      <c r="G13" s="7"/>
    </row>
    <row r="14" customFormat="false" ht="15" hidden="false" customHeight="false" outlineLevel="0" collapsed="false">
      <c r="A14" s="8" t="s">
        <v>60</v>
      </c>
      <c r="B14" s="8" t="s">
        <v>61</v>
      </c>
      <c r="C14" s="8"/>
      <c r="D14" s="8" t="s">
        <v>44</v>
      </c>
      <c r="E14" s="8" t="s">
        <v>57</v>
      </c>
      <c r="F14" s="8"/>
      <c r="G14" s="8"/>
    </row>
    <row r="15" customFormat="false" ht="15" hidden="false" customHeight="false" outlineLevel="0" collapsed="false">
      <c r="A15" s="7" t="s">
        <v>62</v>
      </c>
      <c r="B15" s="7" t="s">
        <v>63</v>
      </c>
      <c r="C15" s="7"/>
      <c r="D15" s="7" t="s">
        <v>44</v>
      </c>
      <c r="E15" s="7" t="s">
        <v>59</v>
      </c>
      <c r="F15" s="7"/>
      <c r="G15" s="7"/>
    </row>
    <row r="16" customFormat="false" ht="15" hidden="false" customHeight="false" outlineLevel="0" collapsed="false">
      <c r="A16" s="8" t="s">
        <v>64</v>
      </c>
      <c r="B16" s="8" t="s">
        <v>65</v>
      </c>
      <c r="C16" s="8"/>
      <c r="D16" s="8" t="s">
        <v>44</v>
      </c>
      <c r="E16" s="8" t="s">
        <v>59</v>
      </c>
      <c r="F16" s="8"/>
      <c r="G16" s="8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D5:D16" type="list">
      <formula1>"Not started,In progress,Submitted,In review,Approved"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66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67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6" t="s">
        <v>68</v>
      </c>
      <c r="B4" s="6" t="s">
        <v>69</v>
      </c>
      <c r="C4" s="6" t="s">
        <v>70</v>
      </c>
      <c r="D4" s="6" t="s">
        <v>71</v>
      </c>
      <c r="E4" s="6" t="s">
        <v>72</v>
      </c>
      <c r="F4" s="6" t="s">
        <v>42</v>
      </c>
      <c r="G4" s="6" t="s">
        <v>73</v>
      </c>
    </row>
    <row r="5" customFormat="false" ht="15" hidden="false" customHeight="false" outlineLevel="0" collapsed="false">
      <c r="A5" s="7" t="s">
        <v>74</v>
      </c>
      <c r="B5" s="7" t="s">
        <v>75</v>
      </c>
      <c r="C5" s="7" t="s">
        <v>76</v>
      </c>
      <c r="D5" s="7"/>
      <c r="E5" s="7" t="s">
        <v>77</v>
      </c>
      <c r="F5" s="7" t="s">
        <v>78</v>
      </c>
      <c r="G5" s="7" t="s">
        <v>79</v>
      </c>
    </row>
    <row r="6" customFormat="false" ht="15" hidden="false" customHeight="false" outlineLevel="0" collapsed="false">
      <c r="A6" s="8" t="s">
        <v>80</v>
      </c>
      <c r="B6" s="8" t="s">
        <v>75</v>
      </c>
      <c r="C6" s="8" t="s">
        <v>76</v>
      </c>
      <c r="D6" s="8"/>
      <c r="E6" s="8" t="s">
        <v>81</v>
      </c>
      <c r="F6" s="8" t="s">
        <v>82</v>
      </c>
      <c r="G6" s="8" t="s">
        <v>83</v>
      </c>
    </row>
    <row r="7" customFormat="false" ht="15" hidden="false" customHeight="false" outlineLevel="0" collapsed="false">
      <c r="A7" s="7" t="s">
        <v>84</v>
      </c>
      <c r="B7" s="7" t="s">
        <v>75</v>
      </c>
      <c r="C7" s="7" t="s">
        <v>76</v>
      </c>
      <c r="D7" s="7"/>
      <c r="E7" s="7" t="s">
        <v>85</v>
      </c>
      <c r="F7" s="7" t="s">
        <v>86</v>
      </c>
      <c r="G7" s="7" t="s">
        <v>79</v>
      </c>
    </row>
    <row r="8" customFormat="false" ht="15" hidden="false" customHeight="false" outlineLevel="0" collapsed="false">
      <c r="A8" s="8" t="s">
        <v>87</v>
      </c>
      <c r="B8" s="8" t="s">
        <v>75</v>
      </c>
      <c r="C8" s="8" t="s">
        <v>76</v>
      </c>
      <c r="D8" s="8"/>
      <c r="E8" s="8" t="s">
        <v>81</v>
      </c>
      <c r="F8" s="8" t="s">
        <v>88</v>
      </c>
      <c r="G8" s="8" t="s">
        <v>79</v>
      </c>
    </row>
    <row r="9" customFormat="false" ht="15" hidden="false" customHeight="false" outlineLevel="0" collapsed="false">
      <c r="A9" s="7" t="s">
        <v>89</v>
      </c>
      <c r="B9" s="7" t="s">
        <v>75</v>
      </c>
      <c r="C9" s="7" t="s">
        <v>76</v>
      </c>
      <c r="D9" s="7"/>
      <c r="E9" s="7" t="s">
        <v>90</v>
      </c>
      <c r="F9" s="7" t="s">
        <v>91</v>
      </c>
      <c r="G9" s="7" t="s">
        <v>92</v>
      </c>
    </row>
    <row r="10" customFormat="false" ht="15" hidden="false" customHeight="false" outlineLevel="0" collapsed="false">
      <c r="A10" s="8" t="s">
        <v>93</v>
      </c>
      <c r="B10" s="8" t="s">
        <v>75</v>
      </c>
      <c r="C10" s="8" t="s">
        <v>76</v>
      </c>
      <c r="D10" s="8"/>
      <c r="E10" s="8" t="s">
        <v>94</v>
      </c>
      <c r="F10" s="8" t="s">
        <v>95</v>
      </c>
      <c r="G10" s="8" t="s">
        <v>83</v>
      </c>
    </row>
    <row r="11" customFormat="false" ht="15" hidden="false" customHeight="false" outlineLevel="0" collapsed="false">
      <c r="A11" s="7" t="s">
        <v>96</v>
      </c>
      <c r="B11" s="7" t="s">
        <v>97</v>
      </c>
      <c r="C11" s="7" t="s">
        <v>76</v>
      </c>
      <c r="D11" s="7"/>
      <c r="E11" s="7" t="s">
        <v>98</v>
      </c>
      <c r="F11" s="7" t="s">
        <v>99</v>
      </c>
      <c r="G11" s="7" t="s">
        <v>79</v>
      </c>
    </row>
    <row r="12" customFormat="false" ht="15" hidden="false" customHeight="false" outlineLevel="0" collapsed="false">
      <c r="A12" s="8" t="s">
        <v>100</v>
      </c>
      <c r="B12" s="8" t="s">
        <v>97</v>
      </c>
      <c r="C12" s="8" t="s">
        <v>76</v>
      </c>
      <c r="D12" s="8"/>
      <c r="E12" s="8" t="s">
        <v>101</v>
      </c>
      <c r="F12" s="8" t="s">
        <v>102</v>
      </c>
      <c r="G12" s="8" t="s">
        <v>92</v>
      </c>
    </row>
    <row r="13" customFormat="false" ht="15" hidden="false" customHeight="false" outlineLevel="0" collapsed="false">
      <c r="A13" s="7" t="s">
        <v>103</v>
      </c>
      <c r="B13" s="7" t="s">
        <v>97</v>
      </c>
      <c r="C13" s="7" t="s">
        <v>104</v>
      </c>
      <c r="D13" s="7"/>
      <c r="E13" s="7" t="s">
        <v>105</v>
      </c>
      <c r="F13" s="7" t="s">
        <v>106</v>
      </c>
      <c r="G13" s="7" t="s">
        <v>79</v>
      </c>
    </row>
    <row r="14" customFormat="false" ht="15" hidden="false" customHeight="false" outlineLevel="0" collapsed="false">
      <c r="A14" s="8" t="s">
        <v>107</v>
      </c>
      <c r="B14" s="8" t="s">
        <v>97</v>
      </c>
      <c r="C14" s="8" t="s">
        <v>76</v>
      </c>
      <c r="D14" s="8"/>
      <c r="E14" s="8" t="s">
        <v>108</v>
      </c>
      <c r="F14" s="8" t="s">
        <v>109</v>
      </c>
      <c r="G14" s="8" t="s">
        <v>79</v>
      </c>
    </row>
    <row r="15" customFormat="false" ht="15" hidden="false" customHeight="false" outlineLevel="0" collapsed="false">
      <c r="A15" s="7" t="s">
        <v>110</v>
      </c>
      <c r="B15" s="7" t="s">
        <v>97</v>
      </c>
      <c r="C15" s="7" t="s">
        <v>76</v>
      </c>
      <c r="D15" s="7"/>
      <c r="E15" s="7" t="s">
        <v>111</v>
      </c>
      <c r="F15" s="7" t="s">
        <v>112</v>
      </c>
      <c r="G15" s="7" t="s">
        <v>92</v>
      </c>
    </row>
    <row r="16" customFormat="false" ht="15" hidden="false" customHeight="false" outlineLevel="0" collapsed="false">
      <c r="A16" s="8" t="s">
        <v>113</v>
      </c>
      <c r="B16" s="8" t="s">
        <v>97</v>
      </c>
      <c r="C16" s="8" t="s">
        <v>76</v>
      </c>
      <c r="D16" s="8"/>
      <c r="E16" s="8" t="s">
        <v>114</v>
      </c>
      <c r="F16" s="8" t="s">
        <v>115</v>
      </c>
      <c r="G16" s="8" t="s">
        <v>79</v>
      </c>
    </row>
    <row r="17" customFormat="false" ht="15" hidden="false" customHeight="false" outlineLevel="0" collapsed="false">
      <c r="A17" s="7" t="s">
        <v>116</v>
      </c>
      <c r="B17" s="7" t="s">
        <v>117</v>
      </c>
      <c r="C17" s="7" t="s">
        <v>76</v>
      </c>
      <c r="D17" s="7"/>
      <c r="E17" s="7" t="s">
        <v>118</v>
      </c>
      <c r="F17" s="7" t="s">
        <v>119</v>
      </c>
      <c r="G17" s="7" t="s">
        <v>83</v>
      </c>
    </row>
    <row r="18" customFormat="false" ht="15" hidden="false" customHeight="false" outlineLevel="0" collapsed="false">
      <c r="A18" s="8" t="s">
        <v>120</v>
      </c>
      <c r="B18" s="8" t="s">
        <v>117</v>
      </c>
      <c r="C18" s="8" t="s">
        <v>104</v>
      </c>
      <c r="D18" s="8"/>
      <c r="E18" s="8" t="s">
        <v>121</v>
      </c>
      <c r="F18" s="8" t="s">
        <v>122</v>
      </c>
      <c r="G18" s="8" t="s">
        <v>79</v>
      </c>
    </row>
    <row r="19" customFormat="false" ht="15" hidden="false" customHeight="false" outlineLevel="0" collapsed="false">
      <c r="A19" s="7" t="s">
        <v>123</v>
      </c>
      <c r="B19" s="7" t="s">
        <v>117</v>
      </c>
      <c r="C19" s="7" t="s">
        <v>76</v>
      </c>
      <c r="D19" s="7"/>
      <c r="E19" s="7" t="s">
        <v>124</v>
      </c>
      <c r="F19" s="7" t="s">
        <v>125</v>
      </c>
      <c r="G19" s="7" t="s">
        <v>79</v>
      </c>
    </row>
    <row r="20" customFormat="false" ht="15" hidden="false" customHeight="false" outlineLevel="0" collapsed="false">
      <c r="A20" s="8" t="s">
        <v>126</v>
      </c>
      <c r="B20" s="8" t="s">
        <v>117</v>
      </c>
      <c r="C20" s="8" t="s">
        <v>76</v>
      </c>
      <c r="D20" s="8"/>
      <c r="E20" s="8" t="s">
        <v>127</v>
      </c>
      <c r="F20" s="8" t="s">
        <v>128</v>
      </c>
      <c r="G20" s="8" t="s">
        <v>83</v>
      </c>
    </row>
    <row r="21" customFormat="false" ht="15" hidden="false" customHeight="false" outlineLevel="0" collapsed="false">
      <c r="A21" s="7" t="s">
        <v>129</v>
      </c>
      <c r="B21" s="7" t="s">
        <v>117</v>
      </c>
      <c r="C21" s="7" t="s">
        <v>76</v>
      </c>
      <c r="D21" s="7"/>
      <c r="E21" s="7" t="s">
        <v>130</v>
      </c>
      <c r="F21" s="7" t="s">
        <v>131</v>
      </c>
      <c r="G21" s="7" t="s">
        <v>79</v>
      </c>
    </row>
    <row r="22" customFormat="false" ht="15" hidden="false" customHeight="false" outlineLevel="0" collapsed="false">
      <c r="A22" s="8" t="s">
        <v>132</v>
      </c>
      <c r="B22" s="8" t="s">
        <v>117</v>
      </c>
      <c r="C22" s="8" t="s">
        <v>76</v>
      </c>
      <c r="D22" s="8"/>
      <c r="E22" s="8" t="s">
        <v>133</v>
      </c>
      <c r="F22" s="8" t="s">
        <v>82</v>
      </c>
      <c r="G22" s="8" t="s">
        <v>92</v>
      </c>
    </row>
    <row r="23" customFormat="false" ht="15" hidden="false" customHeight="false" outlineLevel="0" collapsed="false">
      <c r="A23" s="7" t="s">
        <v>134</v>
      </c>
      <c r="B23" s="7" t="s">
        <v>135</v>
      </c>
      <c r="C23" s="7" t="s">
        <v>76</v>
      </c>
      <c r="D23" s="7"/>
      <c r="E23" s="7" t="s">
        <v>136</v>
      </c>
      <c r="F23" s="7" t="s">
        <v>137</v>
      </c>
      <c r="G23" s="7" t="s">
        <v>79</v>
      </c>
    </row>
    <row r="24" customFormat="false" ht="15" hidden="false" customHeight="false" outlineLevel="0" collapsed="false">
      <c r="A24" s="8" t="s">
        <v>138</v>
      </c>
      <c r="B24" s="8" t="s">
        <v>135</v>
      </c>
      <c r="C24" s="8" t="s">
        <v>76</v>
      </c>
      <c r="D24" s="8"/>
      <c r="E24" s="8" t="s">
        <v>81</v>
      </c>
      <c r="F24" s="8" t="s">
        <v>139</v>
      </c>
      <c r="G24" s="8" t="s">
        <v>92</v>
      </c>
    </row>
    <row r="25" customFormat="false" ht="23.85" hidden="false" customHeight="false" outlineLevel="0" collapsed="false">
      <c r="A25" s="7" t="s">
        <v>140</v>
      </c>
      <c r="B25" s="7" t="s">
        <v>141</v>
      </c>
      <c r="C25" s="7" t="s">
        <v>104</v>
      </c>
      <c r="D25" s="7"/>
      <c r="E25" s="7" t="s">
        <v>142</v>
      </c>
      <c r="F25" s="7" t="s">
        <v>143</v>
      </c>
      <c r="G25" s="7" t="s">
        <v>79</v>
      </c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C5:C25" type="list">
      <formula1>"Y,N,N?"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144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145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6" t="s">
        <v>146</v>
      </c>
      <c r="B4" s="6" t="s">
        <v>147</v>
      </c>
      <c r="C4" s="6" t="s">
        <v>148</v>
      </c>
      <c r="D4" s="6" t="s">
        <v>149</v>
      </c>
      <c r="E4" s="6" t="s">
        <v>150</v>
      </c>
      <c r="F4" s="6" t="s">
        <v>151</v>
      </c>
      <c r="G4" s="6" t="s">
        <v>152</v>
      </c>
    </row>
    <row r="5" customFormat="false" ht="15" hidden="false" customHeight="false" outlineLevel="0" collapsed="false">
      <c r="A5" s="7" t="s">
        <v>153</v>
      </c>
      <c r="B5" s="7" t="s">
        <v>154</v>
      </c>
      <c r="C5" s="7" t="s">
        <v>155</v>
      </c>
      <c r="D5" s="7" t="s">
        <v>149</v>
      </c>
      <c r="E5" s="7" t="s">
        <v>156</v>
      </c>
      <c r="F5" s="7"/>
      <c r="G5" s="7"/>
    </row>
    <row r="6" customFormat="false" ht="23.85" hidden="false" customHeight="false" outlineLevel="0" collapsed="false">
      <c r="A6" s="8" t="s">
        <v>157</v>
      </c>
      <c r="B6" s="8" t="s">
        <v>158</v>
      </c>
      <c r="C6" s="8" t="s">
        <v>159</v>
      </c>
      <c r="D6" s="8" t="s">
        <v>160</v>
      </c>
      <c r="E6" s="8" t="s">
        <v>156</v>
      </c>
      <c r="F6" s="8"/>
      <c r="G6" s="8"/>
    </row>
    <row r="7" customFormat="false" ht="15" hidden="false" customHeight="false" outlineLevel="0" collapsed="false">
      <c r="A7" s="7" t="s">
        <v>161</v>
      </c>
      <c r="B7" s="7" t="s">
        <v>162</v>
      </c>
      <c r="C7" s="7" t="s">
        <v>163</v>
      </c>
      <c r="D7" s="7" t="s">
        <v>160</v>
      </c>
      <c r="E7" s="7" t="s">
        <v>156</v>
      </c>
      <c r="F7" s="7"/>
      <c r="G7" s="7"/>
    </row>
    <row r="8" customFormat="false" ht="15" hidden="false" customHeight="false" outlineLevel="0" collapsed="false">
      <c r="A8" s="8" t="s">
        <v>164</v>
      </c>
      <c r="B8" s="8" t="s">
        <v>165</v>
      </c>
      <c r="C8" s="8" t="s">
        <v>166</v>
      </c>
      <c r="D8" s="8" t="s">
        <v>160</v>
      </c>
      <c r="E8" s="8" t="s">
        <v>156</v>
      </c>
      <c r="F8" s="8"/>
      <c r="G8" s="8"/>
    </row>
    <row r="9" customFormat="false" ht="15" hidden="false" customHeight="false" outlineLevel="0" collapsed="false">
      <c r="A9" s="7" t="s">
        <v>167</v>
      </c>
      <c r="B9" s="7" t="s">
        <v>168</v>
      </c>
      <c r="C9" s="7" t="s">
        <v>169</v>
      </c>
      <c r="D9" s="7" t="s">
        <v>160</v>
      </c>
      <c r="E9" s="7" t="s">
        <v>156</v>
      </c>
      <c r="F9" s="7"/>
      <c r="G9" s="7"/>
    </row>
    <row r="10" customFormat="false" ht="15" hidden="false" customHeight="false" outlineLevel="0" collapsed="false">
      <c r="A10" s="8" t="s">
        <v>170</v>
      </c>
      <c r="B10" s="8" t="s">
        <v>171</v>
      </c>
      <c r="C10" s="8" t="s">
        <v>172</v>
      </c>
      <c r="D10" s="8" t="s">
        <v>160</v>
      </c>
      <c r="E10" s="8" t="s">
        <v>156</v>
      </c>
      <c r="F10" s="8"/>
      <c r="G10" s="8"/>
    </row>
    <row r="11" customFormat="false" ht="15" hidden="false" customHeight="false" outlineLevel="0" collapsed="false">
      <c r="A11" s="7" t="s">
        <v>173</v>
      </c>
      <c r="B11" s="7" t="s">
        <v>174</v>
      </c>
      <c r="C11" s="7" t="s">
        <v>169</v>
      </c>
      <c r="D11" s="7" t="s">
        <v>160</v>
      </c>
      <c r="E11" s="7" t="s">
        <v>156</v>
      </c>
      <c r="F11" s="7"/>
      <c r="G11" s="7"/>
    </row>
    <row r="12" customFormat="false" ht="15" hidden="false" customHeight="false" outlineLevel="0" collapsed="false">
      <c r="A12" s="8" t="s">
        <v>175</v>
      </c>
      <c r="B12" s="8" t="s">
        <v>176</v>
      </c>
      <c r="C12" s="8" t="s">
        <v>177</v>
      </c>
      <c r="D12" s="8" t="s">
        <v>160</v>
      </c>
      <c r="E12" s="8" t="s">
        <v>156</v>
      </c>
      <c r="F12" s="8"/>
      <c r="G12" s="8"/>
    </row>
    <row r="13" customFormat="false" ht="15" hidden="false" customHeight="false" outlineLevel="0" collapsed="false">
      <c r="A13" s="7" t="s">
        <v>178</v>
      </c>
      <c r="B13" s="7" t="s">
        <v>179</v>
      </c>
      <c r="C13" s="7" t="s">
        <v>177</v>
      </c>
      <c r="D13" s="7" t="s">
        <v>160</v>
      </c>
      <c r="E13" s="7" t="s">
        <v>156</v>
      </c>
      <c r="F13" s="7"/>
      <c r="G13" s="7"/>
    </row>
    <row r="14" customFormat="false" ht="15" hidden="false" customHeight="false" outlineLevel="0" collapsed="false">
      <c r="A14" s="8" t="s">
        <v>180</v>
      </c>
      <c r="B14" s="8" t="s">
        <v>181</v>
      </c>
      <c r="C14" s="8" t="s">
        <v>182</v>
      </c>
      <c r="D14" s="8" t="s">
        <v>183</v>
      </c>
      <c r="E14" s="8" t="s">
        <v>156</v>
      </c>
      <c r="F14" s="8"/>
      <c r="G14" s="8"/>
    </row>
    <row r="15" customFormat="false" ht="15" hidden="false" customHeight="false" outlineLevel="0" collapsed="false">
      <c r="A15" s="7" t="s">
        <v>184</v>
      </c>
      <c r="B15" s="7" t="s">
        <v>185</v>
      </c>
      <c r="C15" s="7" t="s">
        <v>186</v>
      </c>
      <c r="D15" s="7" t="s">
        <v>183</v>
      </c>
      <c r="E15" s="7" t="s">
        <v>156</v>
      </c>
      <c r="F15" s="7"/>
      <c r="G15" s="7"/>
    </row>
    <row r="16" customFormat="false" ht="23.85" hidden="false" customHeight="false" outlineLevel="0" collapsed="false">
      <c r="A16" s="8" t="s">
        <v>187</v>
      </c>
      <c r="B16" s="8" t="s">
        <v>188</v>
      </c>
      <c r="C16" s="8" t="s">
        <v>189</v>
      </c>
      <c r="D16" s="8" t="s">
        <v>183</v>
      </c>
      <c r="E16" s="8" t="s">
        <v>156</v>
      </c>
      <c r="F16" s="8"/>
      <c r="G16" s="8"/>
    </row>
    <row r="17" customFormat="false" ht="35.05" hidden="false" customHeight="false" outlineLevel="0" collapsed="false">
      <c r="A17" s="7" t="s">
        <v>190</v>
      </c>
      <c r="B17" s="7" t="s">
        <v>191</v>
      </c>
      <c r="C17" s="7" t="s">
        <v>192</v>
      </c>
      <c r="D17" s="7" t="s">
        <v>193</v>
      </c>
      <c r="E17" s="7"/>
      <c r="F17" s="7"/>
      <c r="G17" s="7"/>
    </row>
    <row r="18" customFormat="false" ht="15" hidden="false" customHeight="false" outlineLevel="0" collapsed="false">
      <c r="A18" s="8" t="s">
        <v>194</v>
      </c>
      <c r="B18" s="8"/>
      <c r="C18" s="8" t="s">
        <v>195</v>
      </c>
      <c r="D18" s="8" t="s">
        <v>160</v>
      </c>
      <c r="E18" s="8"/>
      <c r="F18" s="8"/>
      <c r="G18" s="8"/>
    </row>
    <row r="19" customFormat="false" ht="15" hidden="false" customHeight="false" outlineLevel="0" collapsed="false">
      <c r="A19" s="7" t="s">
        <v>196</v>
      </c>
      <c r="B19" s="7"/>
      <c r="C19" s="7" t="s">
        <v>195</v>
      </c>
      <c r="D19" s="7" t="s">
        <v>160</v>
      </c>
      <c r="E19" s="7"/>
      <c r="F19" s="7"/>
      <c r="G19" s="7"/>
    </row>
    <row r="20" customFormat="false" ht="15" hidden="false" customHeight="false" outlineLevel="0" collapsed="false">
      <c r="A20" s="8" t="s">
        <v>197</v>
      </c>
      <c r="B20" s="8" t="s">
        <v>198</v>
      </c>
      <c r="C20" s="8" t="s">
        <v>199</v>
      </c>
      <c r="D20" s="8" t="s">
        <v>200</v>
      </c>
      <c r="E20" s="8"/>
      <c r="F20" s="8"/>
      <c r="G20" s="8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1" min="10" style="0" width="14"/>
    <col collapsed="false" customWidth="true" hidden="false" outlineLevel="0" max="13" min="12" style="0" width="26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6" t="s">
        <v>203</v>
      </c>
      <c r="B4" s="6" t="s">
        <v>204</v>
      </c>
      <c r="C4" s="6" t="s">
        <v>146</v>
      </c>
      <c r="D4" s="6" t="s">
        <v>205</v>
      </c>
      <c r="E4" s="6" t="s">
        <v>206</v>
      </c>
      <c r="F4" s="6" t="s">
        <v>68</v>
      </c>
      <c r="G4" s="6" t="s">
        <v>207</v>
      </c>
      <c r="H4" s="6" t="s">
        <v>208</v>
      </c>
      <c r="I4" s="6" t="s">
        <v>209</v>
      </c>
      <c r="J4" s="6" t="s">
        <v>29</v>
      </c>
      <c r="K4" s="6" t="s">
        <v>210</v>
      </c>
      <c r="L4" s="6" t="s">
        <v>211</v>
      </c>
      <c r="M4" s="6" t="s">
        <v>212</v>
      </c>
      <c r="N4" s="6" t="s">
        <v>42</v>
      </c>
    </row>
    <row r="5" customFormat="false" ht="15" hidden="false" customHeight="false" outlineLevel="0" collapsed="false">
      <c r="A5" s="9" t="s">
        <v>213</v>
      </c>
      <c r="B5" s="9" t="s">
        <v>214</v>
      </c>
      <c r="C5" s="9" t="s">
        <v>157</v>
      </c>
      <c r="D5" s="9" t="s">
        <v>169</v>
      </c>
      <c r="E5" s="9" t="s">
        <v>215</v>
      </c>
      <c r="F5" s="9" t="s">
        <v>132</v>
      </c>
      <c r="G5" s="9" t="s">
        <v>216</v>
      </c>
      <c r="H5" s="9" t="s">
        <v>217</v>
      </c>
      <c r="I5" s="10" t="n">
        <v>3.29</v>
      </c>
      <c r="J5" s="9" t="s">
        <v>218</v>
      </c>
      <c r="K5" s="9" t="s">
        <v>219</v>
      </c>
      <c r="L5" s="9" t="s">
        <v>220</v>
      </c>
      <c r="M5" s="9" t="s">
        <v>220</v>
      </c>
      <c r="N5" s="9" t="s">
        <v>221</v>
      </c>
    </row>
    <row r="6" customFormat="false" ht="15" hidden="false" customHeight="false" outlineLevel="0" collapsed="false">
      <c r="A6" s="9" t="s">
        <v>213</v>
      </c>
      <c r="B6" s="9" t="s">
        <v>222</v>
      </c>
      <c r="C6" s="9" t="s">
        <v>153</v>
      </c>
      <c r="D6" s="9" t="s">
        <v>155</v>
      </c>
      <c r="E6" s="9" t="s">
        <v>215</v>
      </c>
      <c r="F6" s="9" t="s">
        <v>116</v>
      </c>
      <c r="G6" s="9" t="s">
        <v>223</v>
      </c>
      <c r="H6" s="9" t="s">
        <v>118</v>
      </c>
      <c r="I6" s="10" t="n">
        <v>2.99</v>
      </c>
      <c r="J6" s="9" t="s">
        <v>218</v>
      </c>
      <c r="K6" s="9" t="s">
        <v>219</v>
      </c>
      <c r="L6" s="9" t="s">
        <v>220</v>
      </c>
      <c r="M6" s="9" t="s">
        <v>220</v>
      </c>
      <c r="N6" s="9" t="s">
        <v>221</v>
      </c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2"/>
      <c r="J7" s="11"/>
      <c r="K7" s="11"/>
      <c r="L7" s="11"/>
      <c r="M7" s="11"/>
      <c r="N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2"/>
      <c r="J8" s="11"/>
      <c r="K8" s="11"/>
      <c r="L8" s="11"/>
      <c r="M8" s="11"/>
      <c r="N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2"/>
      <c r="J9" s="11"/>
      <c r="K9" s="11"/>
      <c r="L9" s="11"/>
      <c r="M9" s="11"/>
      <c r="N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2"/>
      <c r="J10" s="11"/>
      <c r="K10" s="11"/>
      <c r="L10" s="11"/>
      <c r="M10" s="11"/>
      <c r="N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2"/>
      <c r="J11" s="11"/>
      <c r="K11" s="11"/>
      <c r="L11" s="11"/>
      <c r="M11" s="11"/>
      <c r="N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2"/>
      <c r="J12" s="11"/>
      <c r="K12" s="11"/>
      <c r="L12" s="11"/>
      <c r="M12" s="11"/>
      <c r="N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2"/>
      <c r="J13" s="11"/>
      <c r="K13" s="11"/>
      <c r="L13" s="11"/>
      <c r="M13" s="11"/>
      <c r="N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2"/>
      <c r="J14" s="11"/>
      <c r="K14" s="11"/>
      <c r="L14" s="11"/>
      <c r="M14" s="11"/>
      <c r="N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2"/>
      <c r="J15" s="11"/>
      <c r="K15" s="11"/>
      <c r="L15" s="11"/>
      <c r="M15" s="11"/>
      <c r="N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2"/>
      <c r="J16" s="11"/>
      <c r="K16" s="11"/>
      <c r="L16" s="11"/>
      <c r="M16" s="11"/>
      <c r="N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2"/>
      <c r="J17" s="11"/>
      <c r="K17" s="11"/>
      <c r="L17" s="11"/>
      <c r="M17" s="11"/>
      <c r="N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2"/>
      <c r="J18" s="11"/>
      <c r="K18" s="11"/>
      <c r="L18" s="11"/>
      <c r="M18" s="11"/>
      <c r="N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2"/>
      <c r="J19" s="11"/>
      <c r="K19" s="11"/>
      <c r="L19" s="11"/>
      <c r="M19" s="11"/>
      <c r="N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2"/>
      <c r="J20" s="11"/>
      <c r="K20" s="11"/>
      <c r="L20" s="11"/>
      <c r="M20" s="11"/>
      <c r="N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2"/>
      <c r="J21" s="11"/>
      <c r="K21" s="11"/>
      <c r="L21" s="11"/>
      <c r="M21" s="11"/>
      <c r="N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2"/>
      <c r="J22" s="11"/>
      <c r="K22" s="11"/>
      <c r="L22" s="11"/>
      <c r="M22" s="11"/>
      <c r="N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2"/>
      <c r="J23" s="11"/>
      <c r="K23" s="11"/>
      <c r="L23" s="11"/>
      <c r="M23" s="11"/>
      <c r="N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2"/>
      <c r="J24" s="11"/>
      <c r="K24" s="11"/>
      <c r="L24" s="11"/>
      <c r="M24" s="11"/>
      <c r="N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2"/>
      <c r="J25" s="11"/>
      <c r="K25" s="11"/>
      <c r="L25" s="11"/>
      <c r="M25" s="11"/>
      <c r="N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2"/>
      <c r="J26" s="11"/>
      <c r="K26" s="11"/>
      <c r="L26" s="11"/>
      <c r="M26" s="11"/>
      <c r="N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2"/>
      <c r="J27" s="11"/>
      <c r="K27" s="11"/>
      <c r="L27" s="11"/>
      <c r="M27" s="11"/>
      <c r="N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2"/>
      <c r="J28" s="11"/>
      <c r="K28" s="11"/>
      <c r="L28" s="11"/>
      <c r="M28" s="11"/>
      <c r="N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2"/>
      <c r="J29" s="11"/>
      <c r="K29" s="11"/>
      <c r="L29" s="11"/>
      <c r="M29" s="11"/>
      <c r="N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2"/>
      <c r="J30" s="11"/>
      <c r="K30" s="11"/>
      <c r="L30" s="11"/>
      <c r="M30" s="11"/>
      <c r="N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2"/>
      <c r="J31" s="11"/>
      <c r="K31" s="11"/>
      <c r="L31" s="11"/>
      <c r="M31" s="11"/>
      <c r="N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2"/>
      <c r="J32" s="11"/>
      <c r="K32" s="11"/>
      <c r="L32" s="11"/>
      <c r="M32" s="11"/>
      <c r="N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2"/>
      <c r="J33" s="11"/>
      <c r="K33" s="11"/>
      <c r="L33" s="11"/>
      <c r="M33" s="11"/>
      <c r="N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2"/>
      <c r="J34" s="11"/>
      <c r="K34" s="11"/>
      <c r="L34" s="11"/>
      <c r="M34" s="11"/>
      <c r="N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2"/>
      <c r="J35" s="11"/>
      <c r="K35" s="11"/>
      <c r="L35" s="11"/>
      <c r="M35" s="11"/>
      <c r="N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2"/>
      <c r="J36" s="11"/>
      <c r="K36" s="11"/>
      <c r="L36" s="11"/>
      <c r="M36" s="11"/>
      <c r="N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2"/>
      <c r="J37" s="11"/>
      <c r="K37" s="11"/>
      <c r="L37" s="11"/>
      <c r="M37" s="11"/>
      <c r="N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2"/>
      <c r="J38" s="11"/>
      <c r="K38" s="11"/>
      <c r="L38" s="11"/>
      <c r="M38" s="11"/>
      <c r="N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2"/>
      <c r="J39" s="11"/>
      <c r="K39" s="11"/>
      <c r="L39" s="11"/>
      <c r="M39" s="11"/>
      <c r="N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2"/>
      <c r="J40" s="11"/>
      <c r="K40" s="11"/>
      <c r="L40" s="11"/>
      <c r="M40" s="11"/>
      <c r="N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2"/>
      <c r="J41" s="11"/>
      <c r="K41" s="11"/>
      <c r="L41" s="11"/>
      <c r="M41" s="11"/>
      <c r="N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2"/>
      <c r="J42" s="11"/>
      <c r="K42" s="11"/>
      <c r="L42" s="11"/>
      <c r="M42" s="11"/>
      <c r="N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2"/>
      <c r="J43" s="11"/>
      <c r="K43" s="11"/>
      <c r="L43" s="11"/>
      <c r="M43" s="11"/>
      <c r="N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2"/>
      <c r="J44" s="11"/>
      <c r="K44" s="11"/>
      <c r="L44" s="11"/>
      <c r="M44" s="11"/>
      <c r="N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2"/>
      <c r="J45" s="11"/>
      <c r="K45" s="11"/>
      <c r="L45" s="11"/>
      <c r="M45" s="11"/>
      <c r="N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2"/>
      <c r="J46" s="11"/>
      <c r="K46" s="11"/>
      <c r="L46" s="11"/>
      <c r="M46" s="11"/>
      <c r="N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2"/>
      <c r="J47" s="11"/>
      <c r="K47" s="11"/>
      <c r="L47" s="11"/>
      <c r="M47" s="11"/>
      <c r="N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2"/>
      <c r="J48" s="11"/>
      <c r="K48" s="11"/>
      <c r="L48" s="11"/>
      <c r="M48" s="11"/>
      <c r="N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2"/>
      <c r="J49" s="11"/>
      <c r="K49" s="11"/>
      <c r="L49" s="11"/>
      <c r="M49" s="11"/>
      <c r="N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2"/>
      <c r="J50" s="11"/>
      <c r="K50" s="11"/>
      <c r="L50" s="11"/>
      <c r="M50" s="11"/>
      <c r="N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2"/>
      <c r="J51" s="11"/>
      <c r="K51" s="11"/>
      <c r="L51" s="11"/>
      <c r="M51" s="11"/>
      <c r="N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2"/>
      <c r="J52" s="11"/>
      <c r="K52" s="11"/>
      <c r="L52" s="11"/>
      <c r="M52" s="11"/>
      <c r="N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2"/>
      <c r="J53" s="11"/>
      <c r="K53" s="11"/>
      <c r="L53" s="11"/>
      <c r="M53" s="11"/>
      <c r="N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2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2"/>
      <c r="J55" s="11"/>
      <c r="K55" s="11"/>
      <c r="L55" s="11"/>
      <c r="M55" s="11"/>
      <c r="N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2"/>
      <c r="J56" s="11"/>
      <c r="K56" s="11"/>
      <c r="L56" s="11"/>
      <c r="M56" s="11"/>
      <c r="N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2"/>
      <c r="J57" s="11"/>
      <c r="K57" s="11"/>
      <c r="L57" s="11"/>
      <c r="M57" s="11"/>
      <c r="N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2"/>
      <c r="J58" s="11"/>
      <c r="K58" s="11"/>
      <c r="L58" s="11"/>
      <c r="M58" s="11"/>
      <c r="N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2"/>
      <c r="J59" s="11"/>
      <c r="K59" s="11"/>
      <c r="L59" s="11"/>
      <c r="M59" s="11"/>
      <c r="N59" s="11"/>
    </row>
  </sheetData>
  <mergeCells count="2">
    <mergeCell ref="A1:N1"/>
    <mergeCell ref="A2:N2"/>
  </mergeCells>
  <dataValidations count="2">
    <dataValidation allowBlank="true" errorStyle="stop" operator="between" showDropDown="false" showErrorMessage="false" showInputMessage="false" sqref="J5:J1000" type="list">
      <formula1>"Regular,Sale,Loyalty,Unit price"</formula1>
      <formula2>0</formula2>
    </dataValidation>
    <dataValidation allowBlank="true" errorStyle="stop" operator="between" showDropDown="false" showErrorMessage="false" showInputMessage="false" sqref="K5:K1000" type="list">
      <formula1>"Yes,Out of stock,Substituted"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4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224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225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G4" s="13" t="s">
        <v>226</v>
      </c>
      <c r="H4" s="14" t="n">
        <f aca="false">COUNTIF('Basket of Goods'!$C$5:$C$25,"Y")</f>
        <v>18</v>
      </c>
    </row>
    <row r="5" customFormat="false" ht="15" hidden="false" customHeight="false" outlineLevel="0" collapsed="false">
      <c r="G5" s="13" t="s">
        <v>227</v>
      </c>
      <c r="H5" s="15" t="n">
        <f aca="false">IFERROR(minifs($B$8:$B$23,$B$8:$B$23,"&gt;0"),0)</f>
        <v>0</v>
      </c>
    </row>
    <row r="7" customFormat="false" ht="23.85" hidden="false" customHeight="false" outlineLevel="0" collapsed="false">
      <c r="A7" s="6" t="s">
        <v>146</v>
      </c>
      <c r="B7" s="6" t="s">
        <v>228</v>
      </c>
      <c r="C7" s="6" t="s">
        <v>229</v>
      </c>
      <c r="D7" s="6" t="s">
        <v>230</v>
      </c>
      <c r="E7" s="6" t="s">
        <v>231</v>
      </c>
    </row>
    <row r="8" customFormat="false" ht="15" hidden="false" customHeight="false" outlineLevel="0" collapsed="false">
      <c r="A8" s="8" t="str">
        <f aca="false">'Store List'!A5</f>
        <v>Food Bazaar</v>
      </c>
      <c r="B8" s="16" t="n">
        <f aca="false">SUMIFS('Price Data'!$I$5:$I$1000,'Price Data'!$C$5:$C$1000,$A8,'Price Data'!$J$5:$J$1000,"Regular")</f>
        <v>2.99</v>
      </c>
      <c r="C8" s="8" t="n">
        <f aca="false">COUNTIFS('Price Data'!$C$5:$C$1000,$A8,'Price Data'!$J$5:$J$1000,"Regular")</f>
        <v>1</v>
      </c>
      <c r="D8" s="8" t="str">
        <f aca="false">IF($C8&gt;=$H$4,"✔","")</f>
        <v/>
      </c>
      <c r="E8" s="8" t="str">
        <f aca="false">IF(OR($B8=0,$H$5=0),"",ROUND($B8/$H$5*100,1))</f>
        <v/>
      </c>
    </row>
    <row r="9" customFormat="false" ht="15" hidden="false" customHeight="false" outlineLevel="0" collapsed="false">
      <c r="A9" s="7" t="str">
        <f aca="false">'Store List'!A6</f>
        <v>Key Food</v>
      </c>
      <c r="B9" s="17" t="n">
        <f aca="false">SUMIFS('Price Data'!$I$5:$I$1000,'Price Data'!$C$5:$C$1000,$A9,'Price Data'!$J$5:$J$1000,"Regular")</f>
        <v>3.29</v>
      </c>
      <c r="C9" s="7" t="n">
        <f aca="false">COUNTIFS('Price Data'!$C$5:$C$1000,$A9,'Price Data'!$J$5:$J$1000,"Regular")</f>
        <v>1</v>
      </c>
      <c r="D9" s="7" t="str">
        <f aca="false">IF($C9&gt;=$H$4,"✔","")</f>
        <v/>
      </c>
      <c r="E9" s="7" t="str">
        <f aca="false">IF(OR($B9=0,$H$5=0),"",ROUND($B9/$H$5*100,1))</f>
        <v/>
      </c>
    </row>
    <row r="10" customFormat="false" ht="15" hidden="false" customHeight="false" outlineLevel="0" collapsed="false">
      <c r="A10" s="8" t="str">
        <f aca="false">'Store List'!A7</f>
        <v>City Fresh Market</v>
      </c>
      <c r="B10" s="16" t="n">
        <f aca="false">SUMIFS('Price Data'!$I$5:$I$1000,'Price Data'!$C$5:$C$1000,$A10,'Price Data'!$J$5:$J$1000,"Regular")</f>
        <v>0</v>
      </c>
      <c r="C10" s="8" t="n">
        <f aca="false">COUNTIFS('Price Data'!$C$5:$C$1000,$A10,'Price Data'!$J$5:$J$1000,"Regular")</f>
        <v>0</v>
      </c>
      <c r="D10" s="8" t="str">
        <f aca="false">IF($C10&gt;=$H$4,"✔","")</f>
        <v/>
      </c>
      <c r="E10" s="8" t="str">
        <f aca="false">IF(OR($B10=0,$H$5=0),"",ROUND($B10/$H$5*100,1))</f>
        <v/>
      </c>
    </row>
    <row r="11" customFormat="false" ht="15" hidden="false" customHeight="false" outlineLevel="0" collapsed="false">
      <c r="A11" s="7" t="str">
        <f aca="false">'Store List'!A8</f>
        <v>Associated Supermarket</v>
      </c>
      <c r="B11" s="17" t="n">
        <f aca="false">SUMIFS('Price Data'!$I$5:$I$1000,'Price Data'!$C$5:$C$1000,$A11,'Price Data'!$J$5:$J$1000,"Regular")</f>
        <v>0</v>
      </c>
      <c r="C11" s="7" t="n">
        <f aca="false">COUNTIFS('Price Data'!$C$5:$C$1000,$A11,'Price Data'!$J$5:$J$1000,"Regular")</f>
        <v>0</v>
      </c>
      <c r="D11" s="7" t="str">
        <f aca="false">IF($C11&gt;=$H$4,"✔","")</f>
        <v/>
      </c>
      <c r="E11" s="7" t="str">
        <f aca="false">IF(OR($B11=0,$H$5=0),"",ROUND($B11/$H$5*100,1))</f>
        <v/>
      </c>
    </row>
    <row r="12" customFormat="false" ht="15" hidden="false" customHeight="false" outlineLevel="0" collapsed="false">
      <c r="A12" s="8" t="str">
        <f aca="false">'Store List'!A9</f>
        <v>Shop Fair</v>
      </c>
      <c r="B12" s="16" t="n">
        <f aca="false">SUMIFS('Price Data'!$I$5:$I$1000,'Price Data'!$C$5:$C$1000,$A12,'Price Data'!$J$5:$J$1000,"Regular")</f>
        <v>0</v>
      </c>
      <c r="C12" s="8" t="n">
        <f aca="false">COUNTIFS('Price Data'!$C$5:$C$1000,$A12,'Price Data'!$J$5:$J$1000,"Regular")</f>
        <v>0</v>
      </c>
      <c r="D12" s="8" t="str">
        <f aca="false">IF($C12&gt;=$H$4,"✔","")</f>
        <v/>
      </c>
      <c r="E12" s="8" t="str">
        <f aca="false">IF(OR($B12=0,$H$5=0),"",ROUND($B12/$H$5*100,1))</f>
        <v/>
      </c>
    </row>
    <row r="13" customFormat="false" ht="15" hidden="false" customHeight="false" outlineLevel="0" collapsed="false">
      <c r="A13" s="7" t="str">
        <f aca="false">'Store List'!A10</f>
        <v>Met Fresh</v>
      </c>
      <c r="B13" s="17" t="n">
        <f aca="false">SUMIFS('Price Data'!$I$5:$I$1000,'Price Data'!$C$5:$C$1000,$A13,'Price Data'!$J$5:$J$1000,"Regular")</f>
        <v>0</v>
      </c>
      <c r="C13" s="7" t="n">
        <f aca="false">COUNTIFS('Price Data'!$C$5:$C$1000,$A13,'Price Data'!$J$5:$J$1000,"Regular")</f>
        <v>0</v>
      </c>
      <c r="D13" s="7" t="str">
        <f aca="false">IF($C13&gt;=$H$4,"✔","")</f>
        <v/>
      </c>
      <c r="E13" s="7" t="str">
        <f aca="false">IF(OR($B13=0,$H$5=0),"",ROUND($B13/$H$5*100,1))</f>
        <v/>
      </c>
    </row>
    <row r="14" customFormat="false" ht="15" hidden="false" customHeight="false" outlineLevel="0" collapsed="false">
      <c r="A14" s="8" t="str">
        <f aca="false">'Store List'!A11</f>
        <v>Billy's Marketplace (C-Town)</v>
      </c>
      <c r="B14" s="16" t="n">
        <f aca="false">SUMIFS('Price Data'!$I$5:$I$1000,'Price Data'!$C$5:$C$1000,$A14,'Price Data'!$J$5:$J$1000,"Regular")</f>
        <v>0</v>
      </c>
      <c r="C14" s="8" t="n">
        <f aca="false">COUNTIFS('Price Data'!$C$5:$C$1000,$A14,'Price Data'!$J$5:$J$1000,"Regular")</f>
        <v>0</v>
      </c>
      <c r="D14" s="8" t="str">
        <f aca="false">IF($C14&gt;=$H$4,"✔","")</f>
        <v/>
      </c>
      <c r="E14" s="8" t="str">
        <f aca="false">IF(OR($B14=0,$H$5=0),"",ROUND($B14/$H$5*100,1))</f>
        <v/>
      </c>
    </row>
    <row r="15" customFormat="false" ht="15" hidden="false" customHeight="false" outlineLevel="0" collapsed="false">
      <c r="A15" s="7" t="str">
        <f aca="false">'Store List'!A12</f>
        <v>Mr. Kiwi's (Mr. Fruit)</v>
      </c>
      <c r="B15" s="17" t="n">
        <f aca="false">SUMIFS('Price Data'!$I$5:$I$1000,'Price Data'!$C$5:$C$1000,$A15,'Price Data'!$J$5:$J$1000,"Regular")</f>
        <v>0</v>
      </c>
      <c r="C15" s="7" t="n">
        <f aca="false">COUNTIFS('Price Data'!$C$5:$C$1000,$A15,'Price Data'!$J$5:$J$1000,"Regular")</f>
        <v>0</v>
      </c>
      <c r="D15" s="7" t="str">
        <f aca="false">IF($C15&gt;=$H$4,"✔","")</f>
        <v/>
      </c>
      <c r="E15" s="7" t="str">
        <f aca="false">IF(OR($B15=0,$H$5=0),"",ROUND($B15/$H$5*100,1))</f>
        <v/>
      </c>
    </row>
    <row r="16" customFormat="false" ht="15" hidden="false" customHeight="false" outlineLevel="0" collapsed="false">
      <c r="A16" s="8" t="str">
        <f aca="false">'Store List'!A13</f>
        <v>Mr. Lemon (Mr. Fruit)</v>
      </c>
      <c r="B16" s="16" t="n">
        <f aca="false">SUMIFS('Price Data'!$I$5:$I$1000,'Price Data'!$C$5:$C$1000,$A16,'Price Data'!$J$5:$J$1000,"Regular")</f>
        <v>0</v>
      </c>
      <c r="C16" s="8" t="n">
        <f aca="false">COUNTIFS('Price Data'!$C$5:$C$1000,$A16,'Price Data'!$J$5:$J$1000,"Regular")</f>
        <v>0</v>
      </c>
      <c r="D16" s="8" t="str">
        <f aca="false">IF($C16&gt;=$H$4,"✔","")</f>
        <v/>
      </c>
      <c r="E16" s="8" t="str">
        <f aca="false">IF(OR($B16=0,$H$5=0),"",ROUND($B16/$H$5*100,1))</f>
        <v/>
      </c>
    </row>
    <row r="17" customFormat="false" ht="15" hidden="false" customHeight="false" outlineLevel="0" collapsed="false">
      <c r="A17" s="7" t="str">
        <f aca="false">'Store List'!A14</f>
        <v>Food Story Natural Market</v>
      </c>
      <c r="B17" s="17" t="n">
        <f aca="false">SUMIFS('Price Data'!$I$5:$I$1000,'Price Data'!$C$5:$C$1000,$A17,'Price Data'!$J$5:$J$1000,"Regular")</f>
        <v>0</v>
      </c>
      <c r="C17" s="7" t="n">
        <f aca="false">COUNTIFS('Price Data'!$C$5:$C$1000,$A17,'Price Data'!$J$5:$J$1000,"Regular")</f>
        <v>0</v>
      </c>
      <c r="D17" s="7" t="str">
        <f aca="false">IF($C17&gt;=$H$4,"✔","")</f>
        <v/>
      </c>
      <c r="E17" s="7" t="str">
        <f aca="false">IF(OR($B17=0,$H$5=0),"",ROUND($B17/$H$5*100,1))</f>
        <v/>
      </c>
    </row>
    <row r="18" customFormat="false" ht="15" hidden="false" customHeight="false" outlineLevel="0" collapsed="false">
      <c r="A18" s="8" t="str">
        <f aca="false">'Store List'!A15</f>
        <v>Hana Natural</v>
      </c>
      <c r="B18" s="16" t="n">
        <f aca="false">SUMIFS('Price Data'!$I$5:$I$1000,'Price Data'!$C$5:$C$1000,$A18,'Price Data'!$J$5:$J$1000,"Regular")</f>
        <v>0</v>
      </c>
      <c r="C18" s="8" t="n">
        <f aca="false">COUNTIFS('Price Data'!$C$5:$C$1000,$A18,'Price Data'!$J$5:$J$1000,"Regular")</f>
        <v>0</v>
      </c>
      <c r="D18" s="8" t="str">
        <f aca="false">IF($C18&gt;=$H$4,"✔","")</f>
        <v/>
      </c>
      <c r="E18" s="8" t="str">
        <f aca="false">IF(OR($B18=0,$H$5=0),"",ROUND($B18/$H$5*100,1))</f>
        <v/>
      </c>
    </row>
    <row r="19" customFormat="false" ht="15" hidden="false" customHeight="false" outlineLevel="0" collapsed="false">
      <c r="A19" s="7" t="str">
        <f aca="false">'Store List'!A16</f>
        <v>Whole Foods</v>
      </c>
      <c r="B19" s="17" t="n">
        <f aca="false">SUMIFS('Price Data'!$I$5:$I$1000,'Price Data'!$C$5:$C$1000,$A19,'Price Data'!$J$5:$J$1000,"Regular")</f>
        <v>0</v>
      </c>
      <c r="C19" s="7" t="n">
        <f aca="false">COUNTIFS('Price Data'!$C$5:$C$1000,$A19,'Price Data'!$J$5:$J$1000,"Regular")</f>
        <v>0</v>
      </c>
      <c r="D19" s="7" t="str">
        <f aca="false">IF($C19&gt;=$H$4,"✔","")</f>
        <v/>
      </c>
      <c r="E19" s="7" t="str">
        <f aca="false">IF(OR($B19=0,$H$5=0),"",ROUND($B19/$H$5*100,1))</f>
        <v/>
      </c>
    </row>
    <row r="20" customFormat="false" ht="15" hidden="false" customHeight="false" outlineLevel="0" collapsed="false">
      <c r="A20" s="8" t="str">
        <f aca="false">'Store List'!A17</f>
        <v>Brooklyn's Natural</v>
      </c>
      <c r="B20" s="16" t="n">
        <f aca="false">SUMIFS('Price Data'!$I$5:$I$1000,'Price Data'!$C$5:$C$1000,$A20,'Price Data'!$J$5:$J$1000,"Regular")</f>
        <v>0</v>
      </c>
      <c r="C20" s="8" t="n">
        <f aca="false">COUNTIFS('Price Data'!$C$5:$C$1000,$A20,'Price Data'!$J$5:$J$1000,"Regular")</f>
        <v>0</v>
      </c>
      <c r="D20" s="8" t="str">
        <f aca="false">IF($C20&gt;=$H$4,"✔","")</f>
        <v/>
      </c>
      <c r="E20" s="8" t="str">
        <f aca="false">IF(OR($B20=0,$H$5=0),"",ROUND($B20/$H$5*100,1))</f>
        <v/>
      </c>
    </row>
    <row r="21" customFormat="false" ht="15" hidden="false" customHeight="false" outlineLevel="0" collapsed="false">
      <c r="A21" s="7" t="str">
        <f aca="false">'Store List'!A18</f>
        <v>Bodega #1 (choose)</v>
      </c>
      <c r="B21" s="17" t="n">
        <f aca="false">SUMIFS('Price Data'!$I$5:$I$1000,'Price Data'!$C$5:$C$1000,$A21,'Price Data'!$J$5:$J$1000,"Regular")</f>
        <v>0</v>
      </c>
      <c r="C21" s="7" t="n">
        <f aca="false">COUNTIFS('Price Data'!$C$5:$C$1000,$A21,'Price Data'!$J$5:$J$1000,"Regular")</f>
        <v>0</v>
      </c>
      <c r="D21" s="7" t="str">
        <f aca="false">IF($C21&gt;=$H$4,"✔","")</f>
        <v/>
      </c>
      <c r="E21" s="7" t="str">
        <f aca="false">IF(OR($B21=0,$H$5=0),"",ROUND($B21/$H$5*100,1))</f>
        <v/>
      </c>
    </row>
    <row r="22" customFormat="false" ht="15" hidden="false" customHeight="false" outlineLevel="0" collapsed="false">
      <c r="A22" s="8" t="str">
        <f aca="false">'Store List'!A19</f>
        <v>Bodega #2 (choose)</v>
      </c>
      <c r="B22" s="16" t="n">
        <f aca="false">SUMIFS('Price Data'!$I$5:$I$1000,'Price Data'!$C$5:$C$1000,$A22,'Price Data'!$J$5:$J$1000,"Regular")</f>
        <v>0</v>
      </c>
      <c r="C22" s="8" t="n">
        <f aca="false">COUNTIFS('Price Data'!$C$5:$C$1000,$A22,'Price Data'!$J$5:$J$1000,"Regular")</f>
        <v>0</v>
      </c>
      <c r="D22" s="8" t="str">
        <f aca="false">IF($C22&gt;=$H$4,"✔","")</f>
        <v/>
      </c>
      <c r="E22" s="8" t="str">
        <f aca="false">IF(OR($B22=0,$H$5=0),"",ROUND($B22/$H$5*100,1))</f>
        <v/>
      </c>
    </row>
    <row r="23" customFormat="false" ht="15" hidden="false" customHeight="false" outlineLevel="0" collapsed="false">
      <c r="A23" s="7" t="str">
        <f aca="false">'Store List'!A20</f>
        <v>Delivery app (if in scope)</v>
      </c>
      <c r="B23" s="17" t="n">
        <f aca="false">SUMIFS('Price Data'!$I$5:$I$1000,'Price Data'!$C$5:$C$1000,$A23,'Price Data'!$J$5:$J$1000,"Regular")</f>
        <v>0</v>
      </c>
      <c r="C23" s="7" t="n">
        <f aca="false">COUNTIFS('Price Data'!$C$5:$C$1000,$A23,'Price Data'!$J$5:$J$1000,"Regular")</f>
        <v>0</v>
      </c>
      <c r="D23" s="7" t="str">
        <f aca="false">IF($C23&gt;=$H$4,"✔","")</f>
        <v/>
      </c>
      <c r="E23" s="7" t="str">
        <f aca="false">IF(OR($B23=0,$H$5=0),"",ROUND($B23/$H$5*100,1))</f>
        <v/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2" min="2" style="0" width="4.5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232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233</v>
      </c>
      <c r="B2" s="2"/>
      <c r="C2" s="2"/>
      <c r="D2" s="2"/>
      <c r="E2" s="2"/>
      <c r="F2" s="2"/>
    </row>
    <row r="4" customFormat="false" ht="91.5" hidden="false" customHeight="true" outlineLevel="0" collapsed="false">
      <c r="A4" s="18" t="s">
        <v>146</v>
      </c>
      <c r="B4" s="19" t="s">
        <v>74</v>
      </c>
      <c r="C4" s="19" t="s">
        <v>80</v>
      </c>
      <c r="D4" s="19" t="s">
        <v>84</v>
      </c>
      <c r="E4" s="19" t="s">
        <v>87</v>
      </c>
      <c r="F4" s="19" t="s">
        <v>89</v>
      </c>
      <c r="G4" s="19" t="s">
        <v>93</v>
      </c>
      <c r="H4" s="19" t="s">
        <v>96</v>
      </c>
      <c r="I4" s="19" t="s">
        <v>100</v>
      </c>
      <c r="J4" s="19" t="s">
        <v>103</v>
      </c>
      <c r="K4" s="19" t="s">
        <v>107</v>
      </c>
      <c r="L4" s="19" t="s">
        <v>110</v>
      </c>
      <c r="M4" s="19" t="s">
        <v>113</v>
      </c>
      <c r="N4" s="19" t="s">
        <v>116</v>
      </c>
      <c r="O4" s="19" t="s">
        <v>120</v>
      </c>
      <c r="P4" s="19" t="s">
        <v>123</v>
      </c>
      <c r="Q4" s="19" t="s">
        <v>126</v>
      </c>
      <c r="R4" s="19" t="s">
        <v>129</v>
      </c>
      <c r="S4" s="19" t="s">
        <v>132</v>
      </c>
      <c r="T4" s="19" t="s">
        <v>134</v>
      </c>
      <c r="U4" s="19" t="s">
        <v>138</v>
      </c>
      <c r="V4" s="19" t="s">
        <v>140</v>
      </c>
      <c r="W4" s="20" t="s">
        <v>229</v>
      </c>
    </row>
    <row r="5" customFormat="false" ht="15" hidden="false" customHeight="false" outlineLevel="0" collapsed="false">
      <c r="A5" s="21" t="str">
        <f aca="false">'Store List'!A5</f>
        <v>Food Bazaar</v>
      </c>
      <c r="B5" s="22" t="n">
        <f aca="false">COUNTIFS('Price Data'!$C$5:$C$1000,$A5,'Price Data'!$F$5:$F$1000,'Basket of Goods'!$A$5,'Price Data'!$J$5:$J$1000,"Regular")</f>
        <v>0</v>
      </c>
      <c r="C5" s="22" t="n">
        <f aca="false">COUNTIFS('Price Data'!$C$5:$C$1000,$A5,'Price Data'!$F$5:$F$1000,'Basket of Goods'!$A$6,'Price Data'!$J$5:$J$1000,"Regular")</f>
        <v>0</v>
      </c>
      <c r="D5" s="22" t="n">
        <f aca="false">COUNTIFS('Price Data'!$C$5:$C$1000,$A5,'Price Data'!$F$5:$F$1000,'Basket of Goods'!$A$7,'Price Data'!$J$5:$J$1000,"Regular")</f>
        <v>0</v>
      </c>
      <c r="E5" s="22" t="n">
        <f aca="false">COUNTIFS('Price Data'!$C$5:$C$1000,$A5,'Price Data'!$F$5:$F$1000,'Basket of Goods'!$A$8,'Price Data'!$J$5:$J$1000,"Regular")</f>
        <v>0</v>
      </c>
      <c r="F5" s="22" t="n">
        <f aca="false">COUNTIFS('Price Data'!$C$5:$C$1000,$A5,'Price Data'!$F$5:$F$1000,'Basket of Goods'!$A$9,'Price Data'!$J$5:$J$1000,"Regular")</f>
        <v>0</v>
      </c>
      <c r="G5" s="22" t="n">
        <f aca="false">COUNTIFS('Price Data'!$C$5:$C$1000,$A5,'Price Data'!$F$5:$F$1000,'Basket of Goods'!$A$10,'Price Data'!$J$5:$J$1000,"Regular")</f>
        <v>0</v>
      </c>
      <c r="H5" s="22" t="n">
        <f aca="false">COUNTIFS('Price Data'!$C$5:$C$1000,$A5,'Price Data'!$F$5:$F$1000,'Basket of Goods'!$A$11,'Price Data'!$J$5:$J$1000,"Regular")</f>
        <v>0</v>
      </c>
      <c r="I5" s="22" t="n">
        <f aca="false">COUNTIFS('Price Data'!$C$5:$C$1000,$A5,'Price Data'!$F$5:$F$1000,'Basket of Goods'!$A$12,'Price Data'!$J$5:$J$1000,"Regular")</f>
        <v>0</v>
      </c>
      <c r="J5" s="22" t="n">
        <f aca="false">COUNTIFS('Price Data'!$C$5:$C$1000,$A5,'Price Data'!$F$5:$F$1000,'Basket of Goods'!$A$13,'Price Data'!$J$5:$J$1000,"Regular")</f>
        <v>0</v>
      </c>
      <c r="K5" s="22" t="n">
        <f aca="false">COUNTIFS('Price Data'!$C$5:$C$1000,$A5,'Price Data'!$F$5:$F$1000,'Basket of Goods'!$A$14,'Price Data'!$J$5:$J$1000,"Regular")</f>
        <v>0</v>
      </c>
      <c r="L5" s="22" t="n">
        <f aca="false">COUNTIFS('Price Data'!$C$5:$C$1000,$A5,'Price Data'!$F$5:$F$1000,'Basket of Goods'!$A$15,'Price Data'!$J$5:$J$1000,"Regular")</f>
        <v>0</v>
      </c>
      <c r="M5" s="22" t="n">
        <f aca="false">COUNTIFS('Price Data'!$C$5:$C$1000,$A5,'Price Data'!$F$5:$F$1000,'Basket of Goods'!$A$16,'Price Data'!$J$5:$J$1000,"Regular")</f>
        <v>0</v>
      </c>
      <c r="N5" s="22" t="n">
        <f aca="false">COUNTIFS('Price Data'!$C$5:$C$1000,$A5,'Price Data'!$F$5:$F$1000,'Basket of Goods'!$A$17,'Price Data'!$J$5:$J$1000,"Regular")</f>
        <v>1</v>
      </c>
      <c r="O5" s="22" t="n">
        <f aca="false">COUNTIFS('Price Data'!$C$5:$C$1000,$A5,'Price Data'!$F$5:$F$1000,'Basket of Goods'!$A$18,'Price Data'!$J$5:$J$1000,"Regular")</f>
        <v>0</v>
      </c>
      <c r="P5" s="22" t="n">
        <f aca="false">COUNTIFS('Price Data'!$C$5:$C$1000,$A5,'Price Data'!$F$5:$F$1000,'Basket of Goods'!$A$19,'Price Data'!$J$5:$J$1000,"Regular")</f>
        <v>0</v>
      </c>
      <c r="Q5" s="22" t="n">
        <f aca="false">COUNTIFS('Price Data'!$C$5:$C$1000,$A5,'Price Data'!$F$5:$F$1000,'Basket of Goods'!$A$20,'Price Data'!$J$5:$J$1000,"Regular")</f>
        <v>0</v>
      </c>
      <c r="R5" s="22" t="n">
        <f aca="false">COUNTIFS('Price Data'!$C$5:$C$1000,$A5,'Price Data'!$F$5:$F$1000,'Basket of Goods'!$A$21,'Price Data'!$J$5:$J$1000,"Regular")</f>
        <v>0</v>
      </c>
      <c r="S5" s="22" t="n">
        <f aca="false">COUNTIFS('Price Data'!$C$5:$C$1000,$A5,'Price Data'!$F$5:$F$1000,'Basket of Goods'!$A$22,'Price Data'!$J$5:$J$1000,"Regular")</f>
        <v>0</v>
      </c>
      <c r="T5" s="22" t="n">
        <f aca="false">COUNTIFS('Price Data'!$C$5:$C$1000,$A5,'Price Data'!$F$5:$F$1000,'Basket of Goods'!$A$23,'Price Data'!$J$5:$J$1000,"Regular")</f>
        <v>0</v>
      </c>
      <c r="U5" s="22" t="n">
        <f aca="false">COUNTIFS('Price Data'!$C$5:$C$1000,$A5,'Price Data'!$F$5:$F$1000,'Basket of Goods'!$A$24,'Price Data'!$J$5:$J$1000,"Regular")</f>
        <v>0</v>
      </c>
      <c r="V5" s="22" t="n">
        <f aca="false">COUNTIFS('Price Data'!$C$5:$C$1000,$A5,'Price Data'!$F$5:$F$1000,'Basket of Goods'!$A$25,'Price Data'!$J$5:$J$1000,"Regular")</f>
        <v>0</v>
      </c>
      <c r="W5" s="23" t="n">
        <f aca="false">SUM(B5:V5)</f>
        <v>1</v>
      </c>
    </row>
    <row r="6" customFormat="false" ht="15" hidden="false" customHeight="false" outlineLevel="0" collapsed="false">
      <c r="A6" s="21" t="str">
        <f aca="false">'Store List'!A6</f>
        <v>Key Food</v>
      </c>
      <c r="B6" s="22" t="n">
        <f aca="false">COUNTIFS('Price Data'!$C$5:$C$1000,$A6,'Price Data'!$F$5:$F$1000,'Basket of Goods'!$A$5,'Price Data'!$J$5:$J$1000,"Regular")</f>
        <v>0</v>
      </c>
      <c r="C6" s="22" t="n">
        <f aca="false">COUNTIFS('Price Data'!$C$5:$C$1000,$A6,'Price Data'!$F$5:$F$1000,'Basket of Goods'!$A$6,'Price Data'!$J$5:$J$1000,"Regular")</f>
        <v>0</v>
      </c>
      <c r="D6" s="22" t="n">
        <f aca="false">COUNTIFS('Price Data'!$C$5:$C$1000,$A6,'Price Data'!$F$5:$F$1000,'Basket of Goods'!$A$7,'Price Data'!$J$5:$J$1000,"Regular")</f>
        <v>0</v>
      </c>
      <c r="E6" s="22" t="n">
        <f aca="false">COUNTIFS('Price Data'!$C$5:$C$1000,$A6,'Price Data'!$F$5:$F$1000,'Basket of Goods'!$A$8,'Price Data'!$J$5:$J$1000,"Regular")</f>
        <v>0</v>
      </c>
      <c r="F6" s="22" t="n">
        <f aca="false">COUNTIFS('Price Data'!$C$5:$C$1000,$A6,'Price Data'!$F$5:$F$1000,'Basket of Goods'!$A$9,'Price Data'!$J$5:$J$1000,"Regular")</f>
        <v>0</v>
      </c>
      <c r="G6" s="22" t="n">
        <f aca="false">COUNTIFS('Price Data'!$C$5:$C$1000,$A6,'Price Data'!$F$5:$F$1000,'Basket of Goods'!$A$10,'Price Data'!$J$5:$J$1000,"Regular")</f>
        <v>0</v>
      </c>
      <c r="H6" s="22" t="n">
        <f aca="false">COUNTIFS('Price Data'!$C$5:$C$1000,$A6,'Price Data'!$F$5:$F$1000,'Basket of Goods'!$A$11,'Price Data'!$J$5:$J$1000,"Regular")</f>
        <v>0</v>
      </c>
      <c r="I6" s="22" t="n">
        <f aca="false">COUNTIFS('Price Data'!$C$5:$C$1000,$A6,'Price Data'!$F$5:$F$1000,'Basket of Goods'!$A$12,'Price Data'!$J$5:$J$1000,"Regular")</f>
        <v>0</v>
      </c>
      <c r="J6" s="22" t="n">
        <f aca="false">COUNTIFS('Price Data'!$C$5:$C$1000,$A6,'Price Data'!$F$5:$F$1000,'Basket of Goods'!$A$13,'Price Data'!$J$5:$J$1000,"Regular")</f>
        <v>0</v>
      </c>
      <c r="K6" s="22" t="n">
        <f aca="false">COUNTIFS('Price Data'!$C$5:$C$1000,$A6,'Price Data'!$F$5:$F$1000,'Basket of Goods'!$A$14,'Price Data'!$J$5:$J$1000,"Regular")</f>
        <v>0</v>
      </c>
      <c r="L6" s="22" t="n">
        <f aca="false">COUNTIFS('Price Data'!$C$5:$C$1000,$A6,'Price Data'!$F$5:$F$1000,'Basket of Goods'!$A$15,'Price Data'!$J$5:$J$1000,"Regular")</f>
        <v>0</v>
      </c>
      <c r="M6" s="22" t="n">
        <f aca="false">COUNTIFS('Price Data'!$C$5:$C$1000,$A6,'Price Data'!$F$5:$F$1000,'Basket of Goods'!$A$16,'Price Data'!$J$5:$J$1000,"Regular")</f>
        <v>0</v>
      </c>
      <c r="N6" s="22" t="n">
        <f aca="false">COUNTIFS('Price Data'!$C$5:$C$1000,$A6,'Price Data'!$F$5:$F$1000,'Basket of Goods'!$A$17,'Price Data'!$J$5:$J$1000,"Regular")</f>
        <v>0</v>
      </c>
      <c r="O6" s="22" t="n">
        <f aca="false">COUNTIFS('Price Data'!$C$5:$C$1000,$A6,'Price Data'!$F$5:$F$1000,'Basket of Goods'!$A$18,'Price Data'!$J$5:$J$1000,"Regular")</f>
        <v>0</v>
      </c>
      <c r="P6" s="22" t="n">
        <f aca="false">COUNTIFS('Price Data'!$C$5:$C$1000,$A6,'Price Data'!$F$5:$F$1000,'Basket of Goods'!$A$19,'Price Data'!$J$5:$J$1000,"Regular")</f>
        <v>0</v>
      </c>
      <c r="Q6" s="22" t="n">
        <f aca="false">COUNTIFS('Price Data'!$C$5:$C$1000,$A6,'Price Data'!$F$5:$F$1000,'Basket of Goods'!$A$20,'Price Data'!$J$5:$J$1000,"Regular")</f>
        <v>0</v>
      </c>
      <c r="R6" s="22" t="n">
        <f aca="false">COUNTIFS('Price Data'!$C$5:$C$1000,$A6,'Price Data'!$F$5:$F$1000,'Basket of Goods'!$A$21,'Price Data'!$J$5:$J$1000,"Regular")</f>
        <v>0</v>
      </c>
      <c r="S6" s="22" t="n">
        <f aca="false">COUNTIFS('Price Data'!$C$5:$C$1000,$A6,'Price Data'!$F$5:$F$1000,'Basket of Goods'!$A$22,'Price Data'!$J$5:$J$1000,"Regular")</f>
        <v>1</v>
      </c>
      <c r="T6" s="22" t="n">
        <f aca="false">COUNTIFS('Price Data'!$C$5:$C$1000,$A6,'Price Data'!$F$5:$F$1000,'Basket of Goods'!$A$23,'Price Data'!$J$5:$J$1000,"Regular")</f>
        <v>0</v>
      </c>
      <c r="U6" s="22" t="n">
        <f aca="false">COUNTIFS('Price Data'!$C$5:$C$1000,$A6,'Price Data'!$F$5:$F$1000,'Basket of Goods'!$A$24,'Price Data'!$J$5:$J$1000,"Regular")</f>
        <v>0</v>
      </c>
      <c r="V6" s="22" t="n">
        <f aca="false">COUNTIFS('Price Data'!$C$5:$C$1000,$A6,'Price Data'!$F$5:$F$1000,'Basket of Goods'!$A$25,'Price Data'!$J$5:$J$1000,"Regular")</f>
        <v>0</v>
      </c>
      <c r="W6" s="23" t="n">
        <f aca="false">SUM(B6:V6)</f>
        <v>1</v>
      </c>
    </row>
    <row r="7" customFormat="false" ht="15" hidden="false" customHeight="false" outlineLevel="0" collapsed="false">
      <c r="A7" s="21" t="str">
        <f aca="false">'Store List'!A7</f>
        <v>City Fresh Market</v>
      </c>
      <c r="B7" s="22" t="n">
        <f aca="false">COUNTIFS('Price Data'!$C$5:$C$1000,$A7,'Price Data'!$F$5:$F$1000,'Basket of Goods'!$A$5,'Price Data'!$J$5:$J$1000,"Regular")</f>
        <v>0</v>
      </c>
      <c r="C7" s="22" t="n">
        <f aca="false">COUNTIFS('Price Data'!$C$5:$C$1000,$A7,'Price Data'!$F$5:$F$1000,'Basket of Goods'!$A$6,'Price Data'!$J$5:$J$1000,"Regular")</f>
        <v>0</v>
      </c>
      <c r="D7" s="22" t="n">
        <f aca="false">COUNTIFS('Price Data'!$C$5:$C$1000,$A7,'Price Data'!$F$5:$F$1000,'Basket of Goods'!$A$7,'Price Data'!$J$5:$J$1000,"Regular")</f>
        <v>0</v>
      </c>
      <c r="E7" s="22" t="n">
        <f aca="false">COUNTIFS('Price Data'!$C$5:$C$1000,$A7,'Price Data'!$F$5:$F$1000,'Basket of Goods'!$A$8,'Price Data'!$J$5:$J$1000,"Regular")</f>
        <v>0</v>
      </c>
      <c r="F7" s="22" t="n">
        <f aca="false">COUNTIFS('Price Data'!$C$5:$C$1000,$A7,'Price Data'!$F$5:$F$1000,'Basket of Goods'!$A$9,'Price Data'!$J$5:$J$1000,"Regular")</f>
        <v>0</v>
      </c>
      <c r="G7" s="22" t="n">
        <f aca="false">COUNTIFS('Price Data'!$C$5:$C$1000,$A7,'Price Data'!$F$5:$F$1000,'Basket of Goods'!$A$10,'Price Data'!$J$5:$J$1000,"Regular")</f>
        <v>0</v>
      </c>
      <c r="H7" s="22" t="n">
        <f aca="false">COUNTIFS('Price Data'!$C$5:$C$1000,$A7,'Price Data'!$F$5:$F$1000,'Basket of Goods'!$A$11,'Price Data'!$J$5:$J$1000,"Regular")</f>
        <v>0</v>
      </c>
      <c r="I7" s="22" t="n">
        <f aca="false">COUNTIFS('Price Data'!$C$5:$C$1000,$A7,'Price Data'!$F$5:$F$1000,'Basket of Goods'!$A$12,'Price Data'!$J$5:$J$1000,"Regular")</f>
        <v>0</v>
      </c>
      <c r="J7" s="22" t="n">
        <f aca="false">COUNTIFS('Price Data'!$C$5:$C$1000,$A7,'Price Data'!$F$5:$F$1000,'Basket of Goods'!$A$13,'Price Data'!$J$5:$J$1000,"Regular")</f>
        <v>0</v>
      </c>
      <c r="K7" s="22" t="n">
        <f aca="false">COUNTIFS('Price Data'!$C$5:$C$1000,$A7,'Price Data'!$F$5:$F$1000,'Basket of Goods'!$A$14,'Price Data'!$J$5:$J$1000,"Regular")</f>
        <v>0</v>
      </c>
      <c r="L7" s="22" t="n">
        <f aca="false">COUNTIFS('Price Data'!$C$5:$C$1000,$A7,'Price Data'!$F$5:$F$1000,'Basket of Goods'!$A$15,'Price Data'!$J$5:$J$1000,"Regular")</f>
        <v>0</v>
      </c>
      <c r="M7" s="22" t="n">
        <f aca="false">COUNTIFS('Price Data'!$C$5:$C$1000,$A7,'Price Data'!$F$5:$F$1000,'Basket of Goods'!$A$16,'Price Data'!$J$5:$J$1000,"Regular")</f>
        <v>0</v>
      </c>
      <c r="N7" s="22" t="n">
        <f aca="false">COUNTIFS('Price Data'!$C$5:$C$1000,$A7,'Price Data'!$F$5:$F$1000,'Basket of Goods'!$A$17,'Price Data'!$J$5:$J$1000,"Regular")</f>
        <v>0</v>
      </c>
      <c r="O7" s="22" t="n">
        <f aca="false">COUNTIFS('Price Data'!$C$5:$C$1000,$A7,'Price Data'!$F$5:$F$1000,'Basket of Goods'!$A$18,'Price Data'!$J$5:$J$1000,"Regular")</f>
        <v>0</v>
      </c>
      <c r="P7" s="22" t="n">
        <f aca="false">COUNTIFS('Price Data'!$C$5:$C$1000,$A7,'Price Data'!$F$5:$F$1000,'Basket of Goods'!$A$19,'Price Data'!$J$5:$J$1000,"Regular")</f>
        <v>0</v>
      </c>
      <c r="Q7" s="22" t="n">
        <f aca="false">COUNTIFS('Price Data'!$C$5:$C$1000,$A7,'Price Data'!$F$5:$F$1000,'Basket of Goods'!$A$20,'Price Data'!$J$5:$J$1000,"Regular")</f>
        <v>0</v>
      </c>
      <c r="R7" s="22" t="n">
        <f aca="false">COUNTIFS('Price Data'!$C$5:$C$1000,$A7,'Price Data'!$F$5:$F$1000,'Basket of Goods'!$A$21,'Price Data'!$J$5:$J$1000,"Regular")</f>
        <v>0</v>
      </c>
      <c r="S7" s="22" t="n">
        <f aca="false">COUNTIFS('Price Data'!$C$5:$C$1000,$A7,'Price Data'!$F$5:$F$1000,'Basket of Goods'!$A$22,'Price Data'!$J$5:$J$1000,"Regular")</f>
        <v>0</v>
      </c>
      <c r="T7" s="22" t="n">
        <f aca="false">COUNTIFS('Price Data'!$C$5:$C$1000,$A7,'Price Data'!$F$5:$F$1000,'Basket of Goods'!$A$23,'Price Data'!$J$5:$J$1000,"Regular")</f>
        <v>0</v>
      </c>
      <c r="U7" s="22" t="n">
        <f aca="false">COUNTIFS('Price Data'!$C$5:$C$1000,$A7,'Price Data'!$F$5:$F$1000,'Basket of Goods'!$A$24,'Price Data'!$J$5:$J$1000,"Regular")</f>
        <v>0</v>
      </c>
      <c r="V7" s="22" t="n">
        <f aca="false">COUNTIFS('Price Data'!$C$5:$C$1000,$A7,'Price Data'!$F$5:$F$1000,'Basket of Goods'!$A$25,'Price Data'!$J$5:$J$1000,"Regular")</f>
        <v>0</v>
      </c>
      <c r="W7" s="23" t="n">
        <f aca="false">SUM(B7:V7)</f>
        <v>0</v>
      </c>
    </row>
    <row r="8" customFormat="false" ht="15" hidden="false" customHeight="false" outlineLevel="0" collapsed="false">
      <c r="A8" s="21" t="str">
        <f aca="false">'Store List'!A8</f>
        <v>Associated Supermarket</v>
      </c>
      <c r="B8" s="22" t="n">
        <f aca="false">COUNTIFS('Price Data'!$C$5:$C$1000,$A8,'Price Data'!$F$5:$F$1000,'Basket of Goods'!$A$5,'Price Data'!$J$5:$J$1000,"Regular")</f>
        <v>0</v>
      </c>
      <c r="C8" s="22" t="n">
        <f aca="false">COUNTIFS('Price Data'!$C$5:$C$1000,$A8,'Price Data'!$F$5:$F$1000,'Basket of Goods'!$A$6,'Price Data'!$J$5:$J$1000,"Regular")</f>
        <v>0</v>
      </c>
      <c r="D8" s="22" t="n">
        <f aca="false">COUNTIFS('Price Data'!$C$5:$C$1000,$A8,'Price Data'!$F$5:$F$1000,'Basket of Goods'!$A$7,'Price Data'!$J$5:$J$1000,"Regular")</f>
        <v>0</v>
      </c>
      <c r="E8" s="22" t="n">
        <f aca="false">COUNTIFS('Price Data'!$C$5:$C$1000,$A8,'Price Data'!$F$5:$F$1000,'Basket of Goods'!$A$8,'Price Data'!$J$5:$J$1000,"Regular")</f>
        <v>0</v>
      </c>
      <c r="F8" s="22" t="n">
        <f aca="false">COUNTIFS('Price Data'!$C$5:$C$1000,$A8,'Price Data'!$F$5:$F$1000,'Basket of Goods'!$A$9,'Price Data'!$J$5:$J$1000,"Regular")</f>
        <v>0</v>
      </c>
      <c r="G8" s="22" t="n">
        <f aca="false">COUNTIFS('Price Data'!$C$5:$C$1000,$A8,'Price Data'!$F$5:$F$1000,'Basket of Goods'!$A$10,'Price Data'!$J$5:$J$1000,"Regular")</f>
        <v>0</v>
      </c>
      <c r="H8" s="22" t="n">
        <f aca="false">COUNTIFS('Price Data'!$C$5:$C$1000,$A8,'Price Data'!$F$5:$F$1000,'Basket of Goods'!$A$11,'Price Data'!$J$5:$J$1000,"Regular")</f>
        <v>0</v>
      </c>
      <c r="I8" s="22" t="n">
        <f aca="false">COUNTIFS('Price Data'!$C$5:$C$1000,$A8,'Price Data'!$F$5:$F$1000,'Basket of Goods'!$A$12,'Price Data'!$J$5:$J$1000,"Regular")</f>
        <v>0</v>
      </c>
      <c r="J8" s="22" t="n">
        <f aca="false">COUNTIFS('Price Data'!$C$5:$C$1000,$A8,'Price Data'!$F$5:$F$1000,'Basket of Goods'!$A$13,'Price Data'!$J$5:$J$1000,"Regular")</f>
        <v>0</v>
      </c>
      <c r="K8" s="22" t="n">
        <f aca="false">COUNTIFS('Price Data'!$C$5:$C$1000,$A8,'Price Data'!$F$5:$F$1000,'Basket of Goods'!$A$14,'Price Data'!$J$5:$J$1000,"Regular")</f>
        <v>0</v>
      </c>
      <c r="L8" s="22" t="n">
        <f aca="false">COUNTIFS('Price Data'!$C$5:$C$1000,$A8,'Price Data'!$F$5:$F$1000,'Basket of Goods'!$A$15,'Price Data'!$J$5:$J$1000,"Regular")</f>
        <v>0</v>
      </c>
      <c r="M8" s="22" t="n">
        <f aca="false">COUNTIFS('Price Data'!$C$5:$C$1000,$A8,'Price Data'!$F$5:$F$1000,'Basket of Goods'!$A$16,'Price Data'!$J$5:$J$1000,"Regular")</f>
        <v>0</v>
      </c>
      <c r="N8" s="22" t="n">
        <f aca="false">COUNTIFS('Price Data'!$C$5:$C$1000,$A8,'Price Data'!$F$5:$F$1000,'Basket of Goods'!$A$17,'Price Data'!$J$5:$J$1000,"Regular")</f>
        <v>0</v>
      </c>
      <c r="O8" s="22" t="n">
        <f aca="false">COUNTIFS('Price Data'!$C$5:$C$1000,$A8,'Price Data'!$F$5:$F$1000,'Basket of Goods'!$A$18,'Price Data'!$J$5:$J$1000,"Regular")</f>
        <v>0</v>
      </c>
      <c r="P8" s="22" t="n">
        <f aca="false">COUNTIFS('Price Data'!$C$5:$C$1000,$A8,'Price Data'!$F$5:$F$1000,'Basket of Goods'!$A$19,'Price Data'!$J$5:$J$1000,"Regular")</f>
        <v>0</v>
      </c>
      <c r="Q8" s="22" t="n">
        <f aca="false">COUNTIFS('Price Data'!$C$5:$C$1000,$A8,'Price Data'!$F$5:$F$1000,'Basket of Goods'!$A$20,'Price Data'!$J$5:$J$1000,"Regular")</f>
        <v>0</v>
      </c>
      <c r="R8" s="22" t="n">
        <f aca="false">COUNTIFS('Price Data'!$C$5:$C$1000,$A8,'Price Data'!$F$5:$F$1000,'Basket of Goods'!$A$21,'Price Data'!$J$5:$J$1000,"Regular")</f>
        <v>0</v>
      </c>
      <c r="S8" s="22" t="n">
        <f aca="false">COUNTIFS('Price Data'!$C$5:$C$1000,$A8,'Price Data'!$F$5:$F$1000,'Basket of Goods'!$A$22,'Price Data'!$J$5:$J$1000,"Regular")</f>
        <v>0</v>
      </c>
      <c r="T8" s="22" t="n">
        <f aca="false">COUNTIFS('Price Data'!$C$5:$C$1000,$A8,'Price Data'!$F$5:$F$1000,'Basket of Goods'!$A$23,'Price Data'!$J$5:$J$1000,"Regular")</f>
        <v>0</v>
      </c>
      <c r="U8" s="22" t="n">
        <f aca="false">COUNTIFS('Price Data'!$C$5:$C$1000,$A8,'Price Data'!$F$5:$F$1000,'Basket of Goods'!$A$24,'Price Data'!$J$5:$J$1000,"Regular")</f>
        <v>0</v>
      </c>
      <c r="V8" s="22" t="n">
        <f aca="false">COUNTIFS('Price Data'!$C$5:$C$1000,$A8,'Price Data'!$F$5:$F$1000,'Basket of Goods'!$A$25,'Price Data'!$J$5:$J$1000,"Regular")</f>
        <v>0</v>
      </c>
      <c r="W8" s="23" t="n">
        <f aca="false">SUM(B8:V8)</f>
        <v>0</v>
      </c>
    </row>
    <row r="9" customFormat="false" ht="15" hidden="false" customHeight="false" outlineLevel="0" collapsed="false">
      <c r="A9" s="21" t="str">
        <f aca="false">'Store List'!A9</f>
        <v>Shop Fair</v>
      </c>
      <c r="B9" s="22" t="n">
        <f aca="false">COUNTIFS('Price Data'!$C$5:$C$1000,$A9,'Price Data'!$F$5:$F$1000,'Basket of Goods'!$A$5,'Price Data'!$J$5:$J$1000,"Regular")</f>
        <v>0</v>
      </c>
      <c r="C9" s="22" t="n">
        <f aca="false">COUNTIFS('Price Data'!$C$5:$C$1000,$A9,'Price Data'!$F$5:$F$1000,'Basket of Goods'!$A$6,'Price Data'!$J$5:$J$1000,"Regular")</f>
        <v>0</v>
      </c>
      <c r="D9" s="22" t="n">
        <f aca="false">COUNTIFS('Price Data'!$C$5:$C$1000,$A9,'Price Data'!$F$5:$F$1000,'Basket of Goods'!$A$7,'Price Data'!$J$5:$J$1000,"Regular")</f>
        <v>0</v>
      </c>
      <c r="E9" s="22" t="n">
        <f aca="false">COUNTIFS('Price Data'!$C$5:$C$1000,$A9,'Price Data'!$F$5:$F$1000,'Basket of Goods'!$A$8,'Price Data'!$J$5:$J$1000,"Regular")</f>
        <v>0</v>
      </c>
      <c r="F9" s="22" t="n">
        <f aca="false">COUNTIFS('Price Data'!$C$5:$C$1000,$A9,'Price Data'!$F$5:$F$1000,'Basket of Goods'!$A$9,'Price Data'!$J$5:$J$1000,"Regular")</f>
        <v>0</v>
      </c>
      <c r="G9" s="22" t="n">
        <f aca="false">COUNTIFS('Price Data'!$C$5:$C$1000,$A9,'Price Data'!$F$5:$F$1000,'Basket of Goods'!$A$10,'Price Data'!$J$5:$J$1000,"Regular")</f>
        <v>0</v>
      </c>
      <c r="H9" s="22" t="n">
        <f aca="false">COUNTIFS('Price Data'!$C$5:$C$1000,$A9,'Price Data'!$F$5:$F$1000,'Basket of Goods'!$A$11,'Price Data'!$J$5:$J$1000,"Regular")</f>
        <v>0</v>
      </c>
      <c r="I9" s="22" t="n">
        <f aca="false">COUNTIFS('Price Data'!$C$5:$C$1000,$A9,'Price Data'!$F$5:$F$1000,'Basket of Goods'!$A$12,'Price Data'!$J$5:$J$1000,"Regular")</f>
        <v>0</v>
      </c>
      <c r="J9" s="22" t="n">
        <f aca="false">COUNTIFS('Price Data'!$C$5:$C$1000,$A9,'Price Data'!$F$5:$F$1000,'Basket of Goods'!$A$13,'Price Data'!$J$5:$J$1000,"Regular")</f>
        <v>0</v>
      </c>
      <c r="K9" s="22" t="n">
        <f aca="false">COUNTIFS('Price Data'!$C$5:$C$1000,$A9,'Price Data'!$F$5:$F$1000,'Basket of Goods'!$A$14,'Price Data'!$J$5:$J$1000,"Regular")</f>
        <v>0</v>
      </c>
      <c r="L9" s="22" t="n">
        <f aca="false">COUNTIFS('Price Data'!$C$5:$C$1000,$A9,'Price Data'!$F$5:$F$1000,'Basket of Goods'!$A$15,'Price Data'!$J$5:$J$1000,"Regular")</f>
        <v>0</v>
      </c>
      <c r="M9" s="22" t="n">
        <f aca="false">COUNTIFS('Price Data'!$C$5:$C$1000,$A9,'Price Data'!$F$5:$F$1000,'Basket of Goods'!$A$16,'Price Data'!$J$5:$J$1000,"Regular")</f>
        <v>0</v>
      </c>
      <c r="N9" s="22" t="n">
        <f aca="false">COUNTIFS('Price Data'!$C$5:$C$1000,$A9,'Price Data'!$F$5:$F$1000,'Basket of Goods'!$A$17,'Price Data'!$J$5:$J$1000,"Regular")</f>
        <v>0</v>
      </c>
      <c r="O9" s="22" t="n">
        <f aca="false">COUNTIFS('Price Data'!$C$5:$C$1000,$A9,'Price Data'!$F$5:$F$1000,'Basket of Goods'!$A$18,'Price Data'!$J$5:$J$1000,"Regular")</f>
        <v>0</v>
      </c>
      <c r="P9" s="22" t="n">
        <f aca="false">COUNTIFS('Price Data'!$C$5:$C$1000,$A9,'Price Data'!$F$5:$F$1000,'Basket of Goods'!$A$19,'Price Data'!$J$5:$J$1000,"Regular")</f>
        <v>0</v>
      </c>
      <c r="Q9" s="22" t="n">
        <f aca="false">COUNTIFS('Price Data'!$C$5:$C$1000,$A9,'Price Data'!$F$5:$F$1000,'Basket of Goods'!$A$20,'Price Data'!$J$5:$J$1000,"Regular")</f>
        <v>0</v>
      </c>
      <c r="R9" s="22" t="n">
        <f aca="false">COUNTIFS('Price Data'!$C$5:$C$1000,$A9,'Price Data'!$F$5:$F$1000,'Basket of Goods'!$A$21,'Price Data'!$J$5:$J$1000,"Regular")</f>
        <v>0</v>
      </c>
      <c r="S9" s="22" t="n">
        <f aca="false">COUNTIFS('Price Data'!$C$5:$C$1000,$A9,'Price Data'!$F$5:$F$1000,'Basket of Goods'!$A$22,'Price Data'!$J$5:$J$1000,"Regular")</f>
        <v>0</v>
      </c>
      <c r="T9" s="22" t="n">
        <f aca="false">COUNTIFS('Price Data'!$C$5:$C$1000,$A9,'Price Data'!$F$5:$F$1000,'Basket of Goods'!$A$23,'Price Data'!$J$5:$J$1000,"Regular")</f>
        <v>0</v>
      </c>
      <c r="U9" s="22" t="n">
        <f aca="false">COUNTIFS('Price Data'!$C$5:$C$1000,$A9,'Price Data'!$F$5:$F$1000,'Basket of Goods'!$A$24,'Price Data'!$J$5:$J$1000,"Regular")</f>
        <v>0</v>
      </c>
      <c r="V9" s="22" t="n">
        <f aca="false">COUNTIFS('Price Data'!$C$5:$C$1000,$A9,'Price Data'!$F$5:$F$1000,'Basket of Goods'!$A$25,'Price Data'!$J$5:$J$1000,"Regular")</f>
        <v>0</v>
      </c>
      <c r="W9" s="23" t="n">
        <f aca="false">SUM(B9:V9)</f>
        <v>0</v>
      </c>
    </row>
    <row r="10" customFormat="false" ht="15" hidden="false" customHeight="false" outlineLevel="0" collapsed="false">
      <c r="A10" s="21" t="str">
        <f aca="false">'Store List'!A10</f>
        <v>Met Fresh</v>
      </c>
      <c r="B10" s="22" t="n">
        <f aca="false">COUNTIFS('Price Data'!$C$5:$C$1000,$A10,'Price Data'!$F$5:$F$1000,'Basket of Goods'!$A$5,'Price Data'!$J$5:$J$1000,"Regular")</f>
        <v>0</v>
      </c>
      <c r="C10" s="22" t="n">
        <f aca="false">COUNTIFS('Price Data'!$C$5:$C$1000,$A10,'Price Data'!$F$5:$F$1000,'Basket of Goods'!$A$6,'Price Data'!$J$5:$J$1000,"Regular")</f>
        <v>0</v>
      </c>
      <c r="D10" s="22" t="n">
        <f aca="false">COUNTIFS('Price Data'!$C$5:$C$1000,$A10,'Price Data'!$F$5:$F$1000,'Basket of Goods'!$A$7,'Price Data'!$J$5:$J$1000,"Regular")</f>
        <v>0</v>
      </c>
      <c r="E10" s="22" t="n">
        <f aca="false">COUNTIFS('Price Data'!$C$5:$C$1000,$A10,'Price Data'!$F$5:$F$1000,'Basket of Goods'!$A$8,'Price Data'!$J$5:$J$1000,"Regular")</f>
        <v>0</v>
      </c>
      <c r="F10" s="22" t="n">
        <f aca="false">COUNTIFS('Price Data'!$C$5:$C$1000,$A10,'Price Data'!$F$5:$F$1000,'Basket of Goods'!$A$9,'Price Data'!$J$5:$J$1000,"Regular")</f>
        <v>0</v>
      </c>
      <c r="G10" s="22" t="n">
        <f aca="false">COUNTIFS('Price Data'!$C$5:$C$1000,$A10,'Price Data'!$F$5:$F$1000,'Basket of Goods'!$A$10,'Price Data'!$J$5:$J$1000,"Regular")</f>
        <v>0</v>
      </c>
      <c r="H10" s="22" t="n">
        <f aca="false">COUNTIFS('Price Data'!$C$5:$C$1000,$A10,'Price Data'!$F$5:$F$1000,'Basket of Goods'!$A$11,'Price Data'!$J$5:$J$1000,"Regular")</f>
        <v>0</v>
      </c>
      <c r="I10" s="22" t="n">
        <f aca="false">COUNTIFS('Price Data'!$C$5:$C$1000,$A10,'Price Data'!$F$5:$F$1000,'Basket of Goods'!$A$12,'Price Data'!$J$5:$J$1000,"Regular")</f>
        <v>0</v>
      </c>
      <c r="J10" s="22" t="n">
        <f aca="false">COUNTIFS('Price Data'!$C$5:$C$1000,$A10,'Price Data'!$F$5:$F$1000,'Basket of Goods'!$A$13,'Price Data'!$J$5:$J$1000,"Regular")</f>
        <v>0</v>
      </c>
      <c r="K10" s="22" t="n">
        <f aca="false">COUNTIFS('Price Data'!$C$5:$C$1000,$A10,'Price Data'!$F$5:$F$1000,'Basket of Goods'!$A$14,'Price Data'!$J$5:$J$1000,"Regular")</f>
        <v>0</v>
      </c>
      <c r="L10" s="22" t="n">
        <f aca="false">COUNTIFS('Price Data'!$C$5:$C$1000,$A10,'Price Data'!$F$5:$F$1000,'Basket of Goods'!$A$15,'Price Data'!$J$5:$J$1000,"Regular")</f>
        <v>0</v>
      </c>
      <c r="M10" s="22" t="n">
        <f aca="false">COUNTIFS('Price Data'!$C$5:$C$1000,$A10,'Price Data'!$F$5:$F$1000,'Basket of Goods'!$A$16,'Price Data'!$J$5:$J$1000,"Regular")</f>
        <v>0</v>
      </c>
      <c r="N10" s="22" t="n">
        <f aca="false">COUNTIFS('Price Data'!$C$5:$C$1000,$A10,'Price Data'!$F$5:$F$1000,'Basket of Goods'!$A$17,'Price Data'!$J$5:$J$1000,"Regular")</f>
        <v>0</v>
      </c>
      <c r="O10" s="22" t="n">
        <f aca="false">COUNTIFS('Price Data'!$C$5:$C$1000,$A10,'Price Data'!$F$5:$F$1000,'Basket of Goods'!$A$18,'Price Data'!$J$5:$J$1000,"Regular")</f>
        <v>0</v>
      </c>
      <c r="P10" s="22" t="n">
        <f aca="false">COUNTIFS('Price Data'!$C$5:$C$1000,$A10,'Price Data'!$F$5:$F$1000,'Basket of Goods'!$A$19,'Price Data'!$J$5:$J$1000,"Regular")</f>
        <v>0</v>
      </c>
      <c r="Q10" s="22" t="n">
        <f aca="false">COUNTIFS('Price Data'!$C$5:$C$1000,$A10,'Price Data'!$F$5:$F$1000,'Basket of Goods'!$A$20,'Price Data'!$J$5:$J$1000,"Regular")</f>
        <v>0</v>
      </c>
      <c r="R10" s="22" t="n">
        <f aca="false">COUNTIFS('Price Data'!$C$5:$C$1000,$A10,'Price Data'!$F$5:$F$1000,'Basket of Goods'!$A$21,'Price Data'!$J$5:$J$1000,"Regular")</f>
        <v>0</v>
      </c>
      <c r="S10" s="22" t="n">
        <f aca="false">COUNTIFS('Price Data'!$C$5:$C$1000,$A10,'Price Data'!$F$5:$F$1000,'Basket of Goods'!$A$22,'Price Data'!$J$5:$J$1000,"Regular")</f>
        <v>0</v>
      </c>
      <c r="T10" s="22" t="n">
        <f aca="false">COUNTIFS('Price Data'!$C$5:$C$1000,$A10,'Price Data'!$F$5:$F$1000,'Basket of Goods'!$A$23,'Price Data'!$J$5:$J$1000,"Regular")</f>
        <v>0</v>
      </c>
      <c r="U10" s="22" t="n">
        <f aca="false">COUNTIFS('Price Data'!$C$5:$C$1000,$A10,'Price Data'!$F$5:$F$1000,'Basket of Goods'!$A$24,'Price Data'!$J$5:$J$1000,"Regular")</f>
        <v>0</v>
      </c>
      <c r="V10" s="22" t="n">
        <f aca="false">COUNTIFS('Price Data'!$C$5:$C$1000,$A10,'Price Data'!$F$5:$F$1000,'Basket of Goods'!$A$25,'Price Data'!$J$5:$J$1000,"Regular")</f>
        <v>0</v>
      </c>
      <c r="W10" s="23" t="n">
        <f aca="false">SUM(B10:V10)</f>
        <v>0</v>
      </c>
    </row>
    <row r="11" customFormat="false" ht="15" hidden="false" customHeight="false" outlineLevel="0" collapsed="false">
      <c r="A11" s="21" t="str">
        <f aca="false">'Store List'!A11</f>
        <v>Billy's Marketplace (C-Town)</v>
      </c>
      <c r="B11" s="22" t="n">
        <f aca="false">COUNTIFS('Price Data'!$C$5:$C$1000,$A11,'Price Data'!$F$5:$F$1000,'Basket of Goods'!$A$5,'Price Data'!$J$5:$J$1000,"Regular")</f>
        <v>0</v>
      </c>
      <c r="C11" s="22" t="n">
        <f aca="false">COUNTIFS('Price Data'!$C$5:$C$1000,$A11,'Price Data'!$F$5:$F$1000,'Basket of Goods'!$A$6,'Price Data'!$J$5:$J$1000,"Regular")</f>
        <v>0</v>
      </c>
      <c r="D11" s="22" t="n">
        <f aca="false">COUNTIFS('Price Data'!$C$5:$C$1000,$A11,'Price Data'!$F$5:$F$1000,'Basket of Goods'!$A$7,'Price Data'!$J$5:$J$1000,"Regular")</f>
        <v>0</v>
      </c>
      <c r="E11" s="22" t="n">
        <f aca="false">COUNTIFS('Price Data'!$C$5:$C$1000,$A11,'Price Data'!$F$5:$F$1000,'Basket of Goods'!$A$8,'Price Data'!$J$5:$J$1000,"Regular")</f>
        <v>0</v>
      </c>
      <c r="F11" s="22" t="n">
        <f aca="false">COUNTIFS('Price Data'!$C$5:$C$1000,$A11,'Price Data'!$F$5:$F$1000,'Basket of Goods'!$A$9,'Price Data'!$J$5:$J$1000,"Regular")</f>
        <v>0</v>
      </c>
      <c r="G11" s="22" t="n">
        <f aca="false">COUNTIFS('Price Data'!$C$5:$C$1000,$A11,'Price Data'!$F$5:$F$1000,'Basket of Goods'!$A$10,'Price Data'!$J$5:$J$1000,"Regular")</f>
        <v>0</v>
      </c>
      <c r="H11" s="22" t="n">
        <f aca="false">COUNTIFS('Price Data'!$C$5:$C$1000,$A11,'Price Data'!$F$5:$F$1000,'Basket of Goods'!$A$11,'Price Data'!$J$5:$J$1000,"Regular")</f>
        <v>0</v>
      </c>
      <c r="I11" s="22" t="n">
        <f aca="false">COUNTIFS('Price Data'!$C$5:$C$1000,$A11,'Price Data'!$F$5:$F$1000,'Basket of Goods'!$A$12,'Price Data'!$J$5:$J$1000,"Regular")</f>
        <v>0</v>
      </c>
      <c r="J11" s="22" t="n">
        <f aca="false">COUNTIFS('Price Data'!$C$5:$C$1000,$A11,'Price Data'!$F$5:$F$1000,'Basket of Goods'!$A$13,'Price Data'!$J$5:$J$1000,"Regular")</f>
        <v>0</v>
      </c>
      <c r="K11" s="22" t="n">
        <f aca="false">COUNTIFS('Price Data'!$C$5:$C$1000,$A11,'Price Data'!$F$5:$F$1000,'Basket of Goods'!$A$14,'Price Data'!$J$5:$J$1000,"Regular")</f>
        <v>0</v>
      </c>
      <c r="L11" s="22" t="n">
        <f aca="false">COUNTIFS('Price Data'!$C$5:$C$1000,$A11,'Price Data'!$F$5:$F$1000,'Basket of Goods'!$A$15,'Price Data'!$J$5:$J$1000,"Regular")</f>
        <v>0</v>
      </c>
      <c r="M11" s="22" t="n">
        <f aca="false">COUNTIFS('Price Data'!$C$5:$C$1000,$A11,'Price Data'!$F$5:$F$1000,'Basket of Goods'!$A$16,'Price Data'!$J$5:$J$1000,"Regular")</f>
        <v>0</v>
      </c>
      <c r="N11" s="22" t="n">
        <f aca="false">COUNTIFS('Price Data'!$C$5:$C$1000,$A11,'Price Data'!$F$5:$F$1000,'Basket of Goods'!$A$17,'Price Data'!$J$5:$J$1000,"Regular")</f>
        <v>0</v>
      </c>
      <c r="O11" s="22" t="n">
        <f aca="false">COUNTIFS('Price Data'!$C$5:$C$1000,$A11,'Price Data'!$F$5:$F$1000,'Basket of Goods'!$A$18,'Price Data'!$J$5:$J$1000,"Regular")</f>
        <v>0</v>
      </c>
      <c r="P11" s="22" t="n">
        <f aca="false">COUNTIFS('Price Data'!$C$5:$C$1000,$A11,'Price Data'!$F$5:$F$1000,'Basket of Goods'!$A$19,'Price Data'!$J$5:$J$1000,"Regular")</f>
        <v>0</v>
      </c>
      <c r="Q11" s="22" t="n">
        <f aca="false">COUNTIFS('Price Data'!$C$5:$C$1000,$A11,'Price Data'!$F$5:$F$1000,'Basket of Goods'!$A$20,'Price Data'!$J$5:$J$1000,"Regular")</f>
        <v>0</v>
      </c>
      <c r="R11" s="22" t="n">
        <f aca="false">COUNTIFS('Price Data'!$C$5:$C$1000,$A11,'Price Data'!$F$5:$F$1000,'Basket of Goods'!$A$21,'Price Data'!$J$5:$J$1000,"Regular")</f>
        <v>0</v>
      </c>
      <c r="S11" s="22" t="n">
        <f aca="false">COUNTIFS('Price Data'!$C$5:$C$1000,$A11,'Price Data'!$F$5:$F$1000,'Basket of Goods'!$A$22,'Price Data'!$J$5:$J$1000,"Regular")</f>
        <v>0</v>
      </c>
      <c r="T11" s="22" t="n">
        <f aca="false">COUNTIFS('Price Data'!$C$5:$C$1000,$A11,'Price Data'!$F$5:$F$1000,'Basket of Goods'!$A$23,'Price Data'!$J$5:$J$1000,"Regular")</f>
        <v>0</v>
      </c>
      <c r="U11" s="22" t="n">
        <f aca="false">COUNTIFS('Price Data'!$C$5:$C$1000,$A11,'Price Data'!$F$5:$F$1000,'Basket of Goods'!$A$24,'Price Data'!$J$5:$J$1000,"Regular")</f>
        <v>0</v>
      </c>
      <c r="V11" s="22" t="n">
        <f aca="false">COUNTIFS('Price Data'!$C$5:$C$1000,$A11,'Price Data'!$F$5:$F$1000,'Basket of Goods'!$A$25,'Price Data'!$J$5:$J$1000,"Regular")</f>
        <v>0</v>
      </c>
      <c r="W11" s="23" t="n">
        <f aca="false">SUM(B11:V11)</f>
        <v>0</v>
      </c>
    </row>
    <row r="12" customFormat="false" ht="15" hidden="false" customHeight="false" outlineLevel="0" collapsed="false">
      <c r="A12" s="21" t="str">
        <f aca="false">'Store List'!A12</f>
        <v>Mr. Kiwi's (Mr. Fruit)</v>
      </c>
      <c r="B12" s="22" t="n">
        <f aca="false">COUNTIFS('Price Data'!$C$5:$C$1000,$A12,'Price Data'!$F$5:$F$1000,'Basket of Goods'!$A$5,'Price Data'!$J$5:$J$1000,"Regular")</f>
        <v>0</v>
      </c>
      <c r="C12" s="22" t="n">
        <f aca="false">COUNTIFS('Price Data'!$C$5:$C$1000,$A12,'Price Data'!$F$5:$F$1000,'Basket of Goods'!$A$6,'Price Data'!$J$5:$J$1000,"Regular")</f>
        <v>0</v>
      </c>
      <c r="D12" s="22" t="n">
        <f aca="false">COUNTIFS('Price Data'!$C$5:$C$1000,$A12,'Price Data'!$F$5:$F$1000,'Basket of Goods'!$A$7,'Price Data'!$J$5:$J$1000,"Regular")</f>
        <v>0</v>
      </c>
      <c r="E12" s="22" t="n">
        <f aca="false">COUNTIFS('Price Data'!$C$5:$C$1000,$A12,'Price Data'!$F$5:$F$1000,'Basket of Goods'!$A$8,'Price Data'!$J$5:$J$1000,"Regular")</f>
        <v>0</v>
      </c>
      <c r="F12" s="22" t="n">
        <f aca="false">COUNTIFS('Price Data'!$C$5:$C$1000,$A12,'Price Data'!$F$5:$F$1000,'Basket of Goods'!$A$9,'Price Data'!$J$5:$J$1000,"Regular")</f>
        <v>0</v>
      </c>
      <c r="G12" s="22" t="n">
        <f aca="false">COUNTIFS('Price Data'!$C$5:$C$1000,$A12,'Price Data'!$F$5:$F$1000,'Basket of Goods'!$A$10,'Price Data'!$J$5:$J$1000,"Regular")</f>
        <v>0</v>
      </c>
      <c r="H12" s="22" t="n">
        <f aca="false">COUNTIFS('Price Data'!$C$5:$C$1000,$A12,'Price Data'!$F$5:$F$1000,'Basket of Goods'!$A$11,'Price Data'!$J$5:$J$1000,"Regular")</f>
        <v>0</v>
      </c>
      <c r="I12" s="22" t="n">
        <f aca="false">COUNTIFS('Price Data'!$C$5:$C$1000,$A12,'Price Data'!$F$5:$F$1000,'Basket of Goods'!$A$12,'Price Data'!$J$5:$J$1000,"Regular")</f>
        <v>0</v>
      </c>
      <c r="J12" s="22" t="n">
        <f aca="false">COUNTIFS('Price Data'!$C$5:$C$1000,$A12,'Price Data'!$F$5:$F$1000,'Basket of Goods'!$A$13,'Price Data'!$J$5:$J$1000,"Regular")</f>
        <v>0</v>
      </c>
      <c r="K12" s="22" t="n">
        <f aca="false">COUNTIFS('Price Data'!$C$5:$C$1000,$A12,'Price Data'!$F$5:$F$1000,'Basket of Goods'!$A$14,'Price Data'!$J$5:$J$1000,"Regular")</f>
        <v>0</v>
      </c>
      <c r="L12" s="22" t="n">
        <f aca="false">COUNTIFS('Price Data'!$C$5:$C$1000,$A12,'Price Data'!$F$5:$F$1000,'Basket of Goods'!$A$15,'Price Data'!$J$5:$J$1000,"Regular")</f>
        <v>0</v>
      </c>
      <c r="M12" s="22" t="n">
        <f aca="false">COUNTIFS('Price Data'!$C$5:$C$1000,$A12,'Price Data'!$F$5:$F$1000,'Basket of Goods'!$A$16,'Price Data'!$J$5:$J$1000,"Regular")</f>
        <v>0</v>
      </c>
      <c r="N12" s="22" t="n">
        <f aca="false">COUNTIFS('Price Data'!$C$5:$C$1000,$A12,'Price Data'!$F$5:$F$1000,'Basket of Goods'!$A$17,'Price Data'!$J$5:$J$1000,"Regular")</f>
        <v>0</v>
      </c>
      <c r="O12" s="22" t="n">
        <f aca="false">COUNTIFS('Price Data'!$C$5:$C$1000,$A12,'Price Data'!$F$5:$F$1000,'Basket of Goods'!$A$18,'Price Data'!$J$5:$J$1000,"Regular")</f>
        <v>0</v>
      </c>
      <c r="P12" s="22" t="n">
        <f aca="false">COUNTIFS('Price Data'!$C$5:$C$1000,$A12,'Price Data'!$F$5:$F$1000,'Basket of Goods'!$A$19,'Price Data'!$J$5:$J$1000,"Regular")</f>
        <v>0</v>
      </c>
      <c r="Q12" s="22" t="n">
        <f aca="false">COUNTIFS('Price Data'!$C$5:$C$1000,$A12,'Price Data'!$F$5:$F$1000,'Basket of Goods'!$A$20,'Price Data'!$J$5:$J$1000,"Regular")</f>
        <v>0</v>
      </c>
      <c r="R12" s="22" t="n">
        <f aca="false">COUNTIFS('Price Data'!$C$5:$C$1000,$A12,'Price Data'!$F$5:$F$1000,'Basket of Goods'!$A$21,'Price Data'!$J$5:$J$1000,"Regular")</f>
        <v>0</v>
      </c>
      <c r="S12" s="22" t="n">
        <f aca="false">COUNTIFS('Price Data'!$C$5:$C$1000,$A12,'Price Data'!$F$5:$F$1000,'Basket of Goods'!$A$22,'Price Data'!$J$5:$J$1000,"Regular")</f>
        <v>0</v>
      </c>
      <c r="T12" s="22" t="n">
        <f aca="false">COUNTIFS('Price Data'!$C$5:$C$1000,$A12,'Price Data'!$F$5:$F$1000,'Basket of Goods'!$A$23,'Price Data'!$J$5:$J$1000,"Regular")</f>
        <v>0</v>
      </c>
      <c r="U12" s="22" t="n">
        <f aca="false">COUNTIFS('Price Data'!$C$5:$C$1000,$A12,'Price Data'!$F$5:$F$1000,'Basket of Goods'!$A$24,'Price Data'!$J$5:$J$1000,"Regular")</f>
        <v>0</v>
      </c>
      <c r="V12" s="22" t="n">
        <f aca="false">COUNTIFS('Price Data'!$C$5:$C$1000,$A12,'Price Data'!$F$5:$F$1000,'Basket of Goods'!$A$25,'Price Data'!$J$5:$J$1000,"Regular")</f>
        <v>0</v>
      </c>
      <c r="W12" s="23" t="n">
        <f aca="false">SUM(B12:V12)</f>
        <v>0</v>
      </c>
    </row>
    <row r="13" customFormat="false" ht="15" hidden="false" customHeight="false" outlineLevel="0" collapsed="false">
      <c r="A13" s="21" t="str">
        <f aca="false">'Store List'!A13</f>
        <v>Mr. Lemon (Mr. Fruit)</v>
      </c>
      <c r="B13" s="22" t="n">
        <f aca="false">COUNTIFS('Price Data'!$C$5:$C$1000,$A13,'Price Data'!$F$5:$F$1000,'Basket of Goods'!$A$5,'Price Data'!$J$5:$J$1000,"Regular")</f>
        <v>0</v>
      </c>
      <c r="C13" s="22" t="n">
        <f aca="false">COUNTIFS('Price Data'!$C$5:$C$1000,$A13,'Price Data'!$F$5:$F$1000,'Basket of Goods'!$A$6,'Price Data'!$J$5:$J$1000,"Regular")</f>
        <v>0</v>
      </c>
      <c r="D13" s="22" t="n">
        <f aca="false">COUNTIFS('Price Data'!$C$5:$C$1000,$A13,'Price Data'!$F$5:$F$1000,'Basket of Goods'!$A$7,'Price Data'!$J$5:$J$1000,"Regular")</f>
        <v>0</v>
      </c>
      <c r="E13" s="22" t="n">
        <f aca="false">COUNTIFS('Price Data'!$C$5:$C$1000,$A13,'Price Data'!$F$5:$F$1000,'Basket of Goods'!$A$8,'Price Data'!$J$5:$J$1000,"Regular")</f>
        <v>0</v>
      </c>
      <c r="F13" s="22" t="n">
        <f aca="false">COUNTIFS('Price Data'!$C$5:$C$1000,$A13,'Price Data'!$F$5:$F$1000,'Basket of Goods'!$A$9,'Price Data'!$J$5:$J$1000,"Regular")</f>
        <v>0</v>
      </c>
      <c r="G13" s="22" t="n">
        <f aca="false">COUNTIFS('Price Data'!$C$5:$C$1000,$A13,'Price Data'!$F$5:$F$1000,'Basket of Goods'!$A$10,'Price Data'!$J$5:$J$1000,"Regular")</f>
        <v>0</v>
      </c>
      <c r="H13" s="22" t="n">
        <f aca="false">COUNTIFS('Price Data'!$C$5:$C$1000,$A13,'Price Data'!$F$5:$F$1000,'Basket of Goods'!$A$11,'Price Data'!$J$5:$J$1000,"Regular")</f>
        <v>0</v>
      </c>
      <c r="I13" s="22" t="n">
        <f aca="false">COUNTIFS('Price Data'!$C$5:$C$1000,$A13,'Price Data'!$F$5:$F$1000,'Basket of Goods'!$A$12,'Price Data'!$J$5:$J$1000,"Regular")</f>
        <v>0</v>
      </c>
      <c r="J13" s="22" t="n">
        <f aca="false">COUNTIFS('Price Data'!$C$5:$C$1000,$A13,'Price Data'!$F$5:$F$1000,'Basket of Goods'!$A$13,'Price Data'!$J$5:$J$1000,"Regular")</f>
        <v>0</v>
      </c>
      <c r="K13" s="22" t="n">
        <f aca="false">COUNTIFS('Price Data'!$C$5:$C$1000,$A13,'Price Data'!$F$5:$F$1000,'Basket of Goods'!$A$14,'Price Data'!$J$5:$J$1000,"Regular")</f>
        <v>0</v>
      </c>
      <c r="L13" s="22" t="n">
        <f aca="false">COUNTIFS('Price Data'!$C$5:$C$1000,$A13,'Price Data'!$F$5:$F$1000,'Basket of Goods'!$A$15,'Price Data'!$J$5:$J$1000,"Regular")</f>
        <v>0</v>
      </c>
      <c r="M13" s="22" t="n">
        <f aca="false">COUNTIFS('Price Data'!$C$5:$C$1000,$A13,'Price Data'!$F$5:$F$1000,'Basket of Goods'!$A$16,'Price Data'!$J$5:$J$1000,"Regular")</f>
        <v>0</v>
      </c>
      <c r="N13" s="22" t="n">
        <f aca="false">COUNTIFS('Price Data'!$C$5:$C$1000,$A13,'Price Data'!$F$5:$F$1000,'Basket of Goods'!$A$17,'Price Data'!$J$5:$J$1000,"Regular")</f>
        <v>0</v>
      </c>
      <c r="O13" s="22" t="n">
        <f aca="false">COUNTIFS('Price Data'!$C$5:$C$1000,$A13,'Price Data'!$F$5:$F$1000,'Basket of Goods'!$A$18,'Price Data'!$J$5:$J$1000,"Regular")</f>
        <v>0</v>
      </c>
      <c r="P13" s="22" t="n">
        <f aca="false">COUNTIFS('Price Data'!$C$5:$C$1000,$A13,'Price Data'!$F$5:$F$1000,'Basket of Goods'!$A$19,'Price Data'!$J$5:$J$1000,"Regular")</f>
        <v>0</v>
      </c>
      <c r="Q13" s="22" t="n">
        <f aca="false">COUNTIFS('Price Data'!$C$5:$C$1000,$A13,'Price Data'!$F$5:$F$1000,'Basket of Goods'!$A$20,'Price Data'!$J$5:$J$1000,"Regular")</f>
        <v>0</v>
      </c>
      <c r="R13" s="22" t="n">
        <f aca="false">COUNTIFS('Price Data'!$C$5:$C$1000,$A13,'Price Data'!$F$5:$F$1000,'Basket of Goods'!$A$21,'Price Data'!$J$5:$J$1000,"Regular")</f>
        <v>0</v>
      </c>
      <c r="S13" s="22" t="n">
        <f aca="false">COUNTIFS('Price Data'!$C$5:$C$1000,$A13,'Price Data'!$F$5:$F$1000,'Basket of Goods'!$A$22,'Price Data'!$J$5:$J$1000,"Regular")</f>
        <v>0</v>
      </c>
      <c r="T13" s="22" t="n">
        <f aca="false">COUNTIFS('Price Data'!$C$5:$C$1000,$A13,'Price Data'!$F$5:$F$1000,'Basket of Goods'!$A$23,'Price Data'!$J$5:$J$1000,"Regular")</f>
        <v>0</v>
      </c>
      <c r="U13" s="22" t="n">
        <f aca="false">COUNTIFS('Price Data'!$C$5:$C$1000,$A13,'Price Data'!$F$5:$F$1000,'Basket of Goods'!$A$24,'Price Data'!$J$5:$J$1000,"Regular")</f>
        <v>0</v>
      </c>
      <c r="V13" s="22" t="n">
        <f aca="false">COUNTIFS('Price Data'!$C$5:$C$1000,$A13,'Price Data'!$F$5:$F$1000,'Basket of Goods'!$A$25,'Price Data'!$J$5:$J$1000,"Regular")</f>
        <v>0</v>
      </c>
      <c r="W13" s="23" t="n">
        <f aca="false">SUM(B13:V13)</f>
        <v>0</v>
      </c>
    </row>
    <row r="14" customFormat="false" ht="15" hidden="false" customHeight="false" outlineLevel="0" collapsed="false">
      <c r="A14" s="21" t="str">
        <f aca="false">'Store List'!A14</f>
        <v>Food Story Natural Market</v>
      </c>
      <c r="B14" s="22" t="n">
        <f aca="false">COUNTIFS('Price Data'!$C$5:$C$1000,$A14,'Price Data'!$F$5:$F$1000,'Basket of Goods'!$A$5,'Price Data'!$J$5:$J$1000,"Regular")</f>
        <v>0</v>
      </c>
      <c r="C14" s="22" t="n">
        <f aca="false">COUNTIFS('Price Data'!$C$5:$C$1000,$A14,'Price Data'!$F$5:$F$1000,'Basket of Goods'!$A$6,'Price Data'!$J$5:$J$1000,"Regular")</f>
        <v>0</v>
      </c>
      <c r="D14" s="22" t="n">
        <f aca="false">COUNTIFS('Price Data'!$C$5:$C$1000,$A14,'Price Data'!$F$5:$F$1000,'Basket of Goods'!$A$7,'Price Data'!$J$5:$J$1000,"Regular")</f>
        <v>0</v>
      </c>
      <c r="E14" s="22" t="n">
        <f aca="false">COUNTIFS('Price Data'!$C$5:$C$1000,$A14,'Price Data'!$F$5:$F$1000,'Basket of Goods'!$A$8,'Price Data'!$J$5:$J$1000,"Regular")</f>
        <v>0</v>
      </c>
      <c r="F14" s="22" t="n">
        <f aca="false">COUNTIFS('Price Data'!$C$5:$C$1000,$A14,'Price Data'!$F$5:$F$1000,'Basket of Goods'!$A$9,'Price Data'!$J$5:$J$1000,"Regular")</f>
        <v>0</v>
      </c>
      <c r="G14" s="22" t="n">
        <f aca="false">COUNTIFS('Price Data'!$C$5:$C$1000,$A14,'Price Data'!$F$5:$F$1000,'Basket of Goods'!$A$10,'Price Data'!$J$5:$J$1000,"Regular")</f>
        <v>0</v>
      </c>
      <c r="H14" s="22" t="n">
        <f aca="false">COUNTIFS('Price Data'!$C$5:$C$1000,$A14,'Price Data'!$F$5:$F$1000,'Basket of Goods'!$A$11,'Price Data'!$J$5:$J$1000,"Regular")</f>
        <v>0</v>
      </c>
      <c r="I14" s="22" t="n">
        <f aca="false">COUNTIFS('Price Data'!$C$5:$C$1000,$A14,'Price Data'!$F$5:$F$1000,'Basket of Goods'!$A$12,'Price Data'!$J$5:$J$1000,"Regular")</f>
        <v>0</v>
      </c>
      <c r="J14" s="22" t="n">
        <f aca="false">COUNTIFS('Price Data'!$C$5:$C$1000,$A14,'Price Data'!$F$5:$F$1000,'Basket of Goods'!$A$13,'Price Data'!$J$5:$J$1000,"Regular")</f>
        <v>0</v>
      </c>
      <c r="K14" s="22" t="n">
        <f aca="false">COUNTIFS('Price Data'!$C$5:$C$1000,$A14,'Price Data'!$F$5:$F$1000,'Basket of Goods'!$A$14,'Price Data'!$J$5:$J$1000,"Regular")</f>
        <v>0</v>
      </c>
      <c r="L14" s="22" t="n">
        <f aca="false">COUNTIFS('Price Data'!$C$5:$C$1000,$A14,'Price Data'!$F$5:$F$1000,'Basket of Goods'!$A$15,'Price Data'!$J$5:$J$1000,"Regular")</f>
        <v>0</v>
      </c>
      <c r="M14" s="22" t="n">
        <f aca="false">COUNTIFS('Price Data'!$C$5:$C$1000,$A14,'Price Data'!$F$5:$F$1000,'Basket of Goods'!$A$16,'Price Data'!$J$5:$J$1000,"Regular")</f>
        <v>0</v>
      </c>
      <c r="N14" s="22" t="n">
        <f aca="false">COUNTIFS('Price Data'!$C$5:$C$1000,$A14,'Price Data'!$F$5:$F$1000,'Basket of Goods'!$A$17,'Price Data'!$J$5:$J$1000,"Regular")</f>
        <v>0</v>
      </c>
      <c r="O14" s="22" t="n">
        <f aca="false">COUNTIFS('Price Data'!$C$5:$C$1000,$A14,'Price Data'!$F$5:$F$1000,'Basket of Goods'!$A$18,'Price Data'!$J$5:$J$1000,"Regular")</f>
        <v>0</v>
      </c>
      <c r="P14" s="22" t="n">
        <f aca="false">COUNTIFS('Price Data'!$C$5:$C$1000,$A14,'Price Data'!$F$5:$F$1000,'Basket of Goods'!$A$19,'Price Data'!$J$5:$J$1000,"Regular")</f>
        <v>0</v>
      </c>
      <c r="Q14" s="22" t="n">
        <f aca="false">COUNTIFS('Price Data'!$C$5:$C$1000,$A14,'Price Data'!$F$5:$F$1000,'Basket of Goods'!$A$20,'Price Data'!$J$5:$J$1000,"Regular")</f>
        <v>0</v>
      </c>
      <c r="R14" s="22" t="n">
        <f aca="false">COUNTIFS('Price Data'!$C$5:$C$1000,$A14,'Price Data'!$F$5:$F$1000,'Basket of Goods'!$A$21,'Price Data'!$J$5:$J$1000,"Regular")</f>
        <v>0</v>
      </c>
      <c r="S14" s="22" t="n">
        <f aca="false">COUNTIFS('Price Data'!$C$5:$C$1000,$A14,'Price Data'!$F$5:$F$1000,'Basket of Goods'!$A$22,'Price Data'!$J$5:$J$1000,"Regular")</f>
        <v>0</v>
      </c>
      <c r="T14" s="22" t="n">
        <f aca="false">COUNTIFS('Price Data'!$C$5:$C$1000,$A14,'Price Data'!$F$5:$F$1000,'Basket of Goods'!$A$23,'Price Data'!$J$5:$J$1000,"Regular")</f>
        <v>0</v>
      </c>
      <c r="U14" s="22" t="n">
        <f aca="false">COUNTIFS('Price Data'!$C$5:$C$1000,$A14,'Price Data'!$F$5:$F$1000,'Basket of Goods'!$A$24,'Price Data'!$J$5:$J$1000,"Regular")</f>
        <v>0</v>
      </c>
      <c r="V14" s="22" t="n">
        <f aca="false">COUNTIFS('Price Data'!$C$5:$C$1000,$A14,'Price Data'!$F$5:$F$1000,'Basket of Goods'!$A$25,'Price Data'!$J$5:$J$1000,"Regular")</f>
        <v>0</v>
      </c>
      <c r="W14" s="23" t="n">
        <f aca="false">SUM(B14:V14)</f>
        <v>0</v>
      </c>
    </row>
    <row r="15" customFormat="false" ht="15" hidden="false" customHeight="false" outlineLevel="0" collapsed="false">
      <c r="A15" s="21" t="str">
        <f aca="false">'Store List'!A15</f>
        <v>Hana Natural</v>
      </c>
      <c r="B15" s="22" t="n">
        <f aca="false">COUNTIFS('Price Data'!$C$5:$C$1000,$A15,'Price Data'!$F$5:$F$1000,'Basket of Goods'!$A$5,'Price Data'!$J$5:$J$1000,"Regular")</f>
        <v>0</v>
      </c>
      <c r="C15" s="22" t="n">
        <f aca="false">COUNTIFS('Price Data'!$C$5:$C$1000,$A15,'Price Data'!$F$5:$F$1000,'Basket of Goods'!$A$6,'Price Data'!$J$5:$J$1000,"Regular")</f>
        <v>0</v>
      </c>
      <c r="D15" s="22" t="n">
        <f aca="false">COUNTIFS('Price Data'!$C$5:$C$1000,$A15,'Price Data'!$F$5:$F$1000,'Basket of Goods'!$A$7,'Price Data'!$J$5:$J$1000,"Regular")</f>
        <v>0</v>
      </c>
      <c r="E15" s="22" t="n">
        <f aca="false">COUNTIFS('Price Data'!$C$5:$C$1000,$A15,'Price Data'!$F$5:$F$1000,'Basket of Goods'!$A$8,'Price Data'!$J$5:$J$1000,"Regular")</f>
        <v>0</v>
      </c>
      <c r="F15" s="22" t="n">
        <f aca="false">COUNTIFS('Price Data'!$C$5:$C$1000,$A15,'Price Data'!$F$5:$F$1000,'Basket of Goods'!$A$9,'Price Data'!$J$5:$J$1000,"Regular")</f>
        <v>0</v>
      </c>
      <c r="G15" s="22" t="n">
        <f aca="false">COUNTIFS('Price Data'!$C$5:$C$1000,$A15,'Price Data'!$F$5:$F$1000,'Basket of Goods'!$A$10,'Price Data'!$J$5:$J$1000,"Regular")</f>
        <v>0</v>
      </c>
      <c r="H15" s="22" t="n">
        <f aca="false">COUNTIFS('Price Data'!$C$5:$C$1000,$A15,'Price Data'!$F$5:$F$1000,'Basket of Goods'!$A$11,'Price Data'!$J$5:$J$1000,"Regular")</f>
        <v>0</v>
      </c>
      <c r="I15" s="22" t="n">
        <f aca="false">COUNTIFS('Price Data'!$C$5:$C$1000,$A15,'Price Data'!$F$5:$F$1000,'Basket of Goods'!$A$12,'Price Data'!$J$5:$J$1000,"Regular")</f>
        <v>0</v>
      </c>
      <c r="J15" s="22" t="n">
        <f aca="false">COUNTIFS('Price Data'!$C$5:$C$1000,$A15,'Price Data'!$F$5:$F$1000,'Basket of Goods'!$A$13,'Price Data'!$J$5:$J$1000,"Regular")</f>
        <v>0</v>
      </c>
      <c r="K15" s="22" t="n">
        <f aca="false">COUNTIFS('Price Data'!$C$5:$C$1000,$A15,'Price Data'!$F$5:$F$1000,'Basket of Goods'!$A$14,'Price Data'!$J$5:$J$1000,"Regular")</f>
        <v>0</v>
      </c>
      <c r="L15" s="22" t="n">
        <f aca="false">COUNTIFS('Price Data'!$C$5:$C$1000,$A15,'Price Data'!$F$5:$F$1000,'Basket of Goods'!$A$15,'Price Data'!$J$5:$J$1000,"Regular")</f>
        <v>0</v>
      </c>
      <c r="M15" s="22" t="n">
        <f aca="false">COUNTIFS('Price Data'!$C$5:$C$1000,$A15,'Price Data'!$F$5:$F$1000,'Basket of Goods'!$A$16,'Price Data'!$J$5:$J$1000,"Regular")</f>
        <v>0</v>
      </c>
      <c r="N15" s="22" t="n">
        <f aca="false">COUNTIFS('Price Data'!$C$5:$C$1000,$A15,'Price Data'!$F$5:$F$1000,'Basket of Goods'!$A$17,'Price Data'!$J$5:$J$1000,"Regular")</f>
        <v>0</v>
      </c>
      <c r="O15" s="22" t="n">
        <f aca="false">COUNTIFS('Price Data'!$C$5:$C$1000,$A15,'Price Data'!$F$5:$F$1000,'Basket of Goods'!$A$18,'Price Data'!$J$5:$J$1000,"Regular")</f>
        <v>0</v>
      </c>
      <c r="P15" s="22" t="n">
        <f aca="false">COUNTIFS('Price Data'!$C$5:$C$1000,$A15,'Price Data'!$F$5:$F$1000,'Basket of Goods'!$A$19,'Price Data'!$J$5:$J$1000,"Regular")</f>
        <v>0</v>
      </c>
      <c r="Q15" s="22" t="n">
        <f aca="false">COUNTIFS('Price Data'!$C$5:$C$1000,$A15,'Price Data'!$F$5:$F$1000,'Basket of Goods'!$A$20,'Price Data'!$J$5:$J$1000,"Regular")</f>
        <v>0</v>
      </c>
      <c r="R15" s="22" t="n">
        <f aca="false">COUNTIFS('Price Data'!$C$5:$C$1000,$A15,'Price Data'!$F$5:$F$1000,'Basket of Goods'!$A$21,'Price Data'!$J$5:$J$1000,"Regular")</f>
        <v>0</v>
      </c>
      <c r="S15" s="22" t="n">
        <f aca="false">COUNTIFS('Price Data'!$C$5:$C$1000,$A15,'Price Data'!$F$5:$F$1000,'Basket of Goods'!$A$22,'Price Data'!$J$5:$J$1000,"Regular")</f>
        <v>0</v>
      </c>
      <c r="T15" s="22" t="n">
        <f aca="false">COUNTIFS('Price Data'!$C$5:$C$1000,$A15,'Price Data'!$F$5:$F$1000,'Basket of Goods'!$A$23,'Price Data'!$J$5:$J$1000,"Regular")</f>
        <v>0</v>
      </c>
      <c r="U15" s="22" t="n">
        <f aca="false">COUNTIFS('Price Data'!$C$5:$C$1000,$A15,'Price Data'!$F$5:$F$1000,'Basket of Goods'!$A$24,'Price Data'!$J$5:$J$1000,"Regular")</f>
        <v>0</v>
      </c>
      <c r="V15" s="22" t="n">
        <f aca="false">COUNTIFS('Price Data'!$C$5:$C$1000,$A15,'Price Data'!$F$5:$F$1000,'Basket of Goods'!$A$25,'Price Data'!$J$5:$J$1000,"Regular")</f>
        <v>0</v>
      </c>
      <c r="W15" s="23" t="n">
        <f aca="false">SUM(B15:V15)</f>
        <v>0</v>
      </c>
    </row>
    <row r="16" customFormat="false" ht="15" hidden="false" customHeight="false" outlineLevel="0" collapsed="false">
      <c r="A16" s="21" t="str">
        <f aca="false">'Store List'!A16</f>
        <v>Whole Foods</v>
      </c>
      <c r="B16" s="22" t="n">
        <f aca="false">COUNTIFS('Price Data'!$C$5:$C$1000,$A16,'Price Data'!$F$5:$F$1000,'Basket of Goods'!$A$5,'Price Data'!$J$5:$J$1000,"Regular")</f>
        <v>0</v>
      </c>
      <c r="C16" s="22" t="n">
        <f aca="false">COUNTIFS('Price Data'!$C$5:$C$1000,$A16,'Price Data'!$F$5:$F$1000,'Basket of Goods'!$A$6,'Price Data'!$J$5:$J$1000,"Regular")</f>
        <v>0</v>
      </c>
      <c r="D16" s="22" t="n">
        <f aca="false">COUNTIFS('Price Data'!$C$5:$C$1000,$A16,'Price Data'!$F$5:$F$1000,'Basket of Goods'!$A$7,'Price Data'!$J$5:$J$1000,"Regular")</f>
        <v>0</v>
      </c>
      <c r="E16" s="22" t="n">
        <f aca="false">COUNTIFS('Price Data'!$C$5:$C$1000,$A16,'Price Data'!$F$5:$F$1000,'Basket of Goods'!$A$8,'Price Data'!$J$5:$J$1000,"Regular")</f>
        <v>0</v>
      </c>
      <c r="F16" s="22" t="n">
        <f aca="false">COUNTIFS('Price Data'!$C$5:$C$1000,$A16,'Price Data'!$F$5:$F$1000,'Basket of Goods'!$A$9,'Price Data'!$J$5:$J$1000,"Regular")</f>
        <v>0</v>
      </c>
      <c r="G16" s="22" t="n">
        <f aca="false">COUNTIFS('Price Data'!$C$5:$C$1000,$A16,'Price Data'!$F$5:$F$1000,'Basket of Goods'!$A$10,'Price Data'!$J$5:$J$1000,"Regular")</f>
        <v>0</v>
      </c>
      <c r="H16" s="22" t="n">
        <f aca="false">COUNTIFS('Price Data'!$C$5:$C$1000,$A16,'Price Data'!$F$5:$F$1000,'Basket of Goods'!$A$11,'Price Data'!$J$5:$J$1000,"Regular")</f>
        <v>0</v>
      </c>
      <c r="I16" s="22" t="n">
        <f aca="false">COUNTIFS('Price Data'!$C$5:$C$1000,$A16,'Price Data'!$F$5:$F$1000,'Basket of Goods'!$A$12,'Price Data'!$J$5:$J$1000,"Regular")</f>
        <v>0</v>
      </c>
      <c r="J16" s="22" t="n">
        <f aca="false">COUNTIFS('Price Data'!$C$5:$C$1000,$A16,'Price Data'!$F$5:$F$1000,'Basket of Goods'!$A$13,'Price Data'!$J$5:$J$1000,"Regular")</f>
        <v>0</v>
      </c>
      <c r="K16" s="22" t="n">
        <f aca="false">COUNTIFS('Price Data'!$C$5:$C$1000,$A16,'Price Data'!$F$5:$F$1000,'Basket of Goods'!$A$14,'Price Data'!$J$5:$J$1000,"Regular")</f>
        <v>0</v>
      </c>
      <c r="L16" s="22" t="n">
        <f aca="false">COUNTIFS('Price Data'!$C$5:$C$1000,$A16,'Price Data'!$F$5:$F$1000,'Basket of Goods'!$A$15,'Price Data'!$J$5:$J$1000,"Regular")</f>
        <v>0</v>
      </c>
      <c r="M16" s="22" t="n">
        <f aca="false">COUNTIFS('Price Data'!$C$5:$C$1000,$A16,'Price Data'!$F$5:$F$1000,'Basket of Goods'!$A$16,'Price Data'!$J$5:$J$1000,"Regular")</f>
        <v>0</v>
      </c>
      <c r="N16" s="22" t="n">
        <f aca="false">COUNTIFS('Price Data'!$C$5:$C$1000,$A16,'Price Data'!$F$5:$F$1000,'Basket of Goods'!$A$17,'Price Data'!$J$5:$J$1000,"Regular")</f>
        <v>0</v>
      </c>
      <c r="O16" s="22" t="n">
        <f aca="false">COUNTIFS('Price Data'!$C$5:$C$1000,$A16,'Price Data'!$F$5:$F$1000,'Basket of Goods'!$A$18,'Price Data'!$J$5:$J$1000,"Regular")</f>
        <v>0</v>
      </c>
      <c r="P16" s="22" t="n">
        <f aca="false">COUNTIFS('Price Data'!$C$5:$C$1000,$A16,'Price Data'!$F$5:$F$1000,'Basket of Goods'!$A$19,'Price Data'!$J$5:$J$1000,"Regular")</f>
        <v>0</v>
      </c>
      <c r="Q16" s="22" t="n">
        <f aca="false">COUNTIFS('Price Data'!$C$5:$C$1000,$A16,'Price Data'!$F$5:$F$1000,'Basket of Goods'!$A$20,'Price Data'!$J$5:$J$1000,"Regular")</f>
        <v>0</v>
      </c>
      <c r="R16" s="22" t="n">
        <f aca="false">COUNTIFS('Price Data'!$C$5:$C$1000,$A16,'Price Data'!$F$5:$F$1000,'Basket of Goods'!$A$21,'Price Data'!$J$5:$J$1000,"Regular")</f>
        <v>0</v>
      </c>
      <c r="S16" s="22" t="n">
        <f aca="false">COUNTIFS('Price Data'!$C$5:$C$1000,$A16,'Price Data'!$F$5:$F$1000,'Basket of Goods'!$A$22,'Price Data'!$J$5:$J$1000,"Regular")</f>
        <v>0</v>
      </c>
      <c r="T16" s="22" t="n">
        <f aca="false">COUNTIFS('Price Data'!$C$5:$C$1000,$A16,'Price Data'!$F$5:$F$1000,'Basket of Goods'!$A$23,'Price Data'!$J$5:$J$1000,"Regular")</f>
        <v>0</v>
      </c>
      <c r="U16" s="22" t="n">
        <f aca="false">COUNTIFS('Price Data'!$C$5:$C$1000,$A16,'Price Data'!$F$5:$F$1000,'Basket of Goods'!$A$24,'Price Data'!$J$5:$J$1000,"Regular")</f>
        <v>0</v>
      </c>
      <c r="V16" s="22" t="n">
        <f aca="false">COUNTIFS('Price Data'!$C$5:$C$1000,$A16,'Price Data'!$F$5:$F$1000,'Basket of Goods'!$A$25,'Price Data'!$J$5:$J$1000,"Regular")</f>
        <v>0</v>
      </c>
      <c r="W16" s="23" t="n">
        <f aca="false">SUM(B16:V16)</f>
        <v>0</v>
      </c>
    </row>
    <row r="17" customFormat="false" ht="15" hidden="false" customHeight="false" outlineLevel="0" collapsed="false">
      <c r="A17" s="21" t="str">
        <f aca="false">'Store List'!A17</f>
        <v>Brooklyn's Natural</v>
      </c>
      <c r="B17" s="22" t="n">
        <f aca="false">COUNTIFS('Price Data'!$C$5:$C$1000,$A17,'Price Data'!$F$5:$F$1000,'Basket of Goods'!$A$5,'Price Data'!$J$5:$J$1000,"Regular")</f>
        <v>0</v>
      </c>
      <c r="C17" s="22" t="n">
        <f aca="false">COUNTIFS('Price Data'!$C$5:$C$1000,$A17,'Price Data'!$F$5:$F$1000,'Basket of Goods'!$A$6,'Price Data'!$J$5:$J$1000,"Regular")</f>
        <v>0</v>
      </c>
      <c r="D17" s="22" t="n">
        <f aca="false">COUNTIFS('Price Data'!$C$5:$C$1000,$A17,'Price Data'!$F$5:$F$1000,'Basket of Goods'!$A$7,'Price Data'!$J$5:$J$1000,"Regular")</f>
        <v>0</v>
      </c>
      <c r="E17" s="22" t="n">
        <f aca="false">COUNTIFS('Price Data'!$C$5:$C$1000,$A17,'Price Data'!$F$5:$F$1000,'Basket of Goods'!$A$8,'Price Data'!$J$5:$J$1000,"Regular")</f>
        <v>0</v>
      </c>
      <c r="F17" s="22" t="n">
        <f aca="false">COUNTIFS('Price Data'!$C$5:$C$1000,$A17,'Price Data'!$F$5:$F$1000,'Basket of Goods'!$A$9,'Price Data'!$J$5:$J$1000,"Regular")</f>
        <v>0</v>
      </c>
      <c r="G17" s="22" t="n">
        <f aca="false">COUNTIFS('Price Data'!$C$5:$C$1000,$A17,'Price Data'!$F$5:$F$1000,'Basket of Goods'!$A$10,'Price Data'!$J$5:$J$1000,"Regular")</f>
        <v>0</v>
      </c>
      <c r="H17" s="22" t="n">
        <f aca="false">COUNTIFS('Price Data'!$C$5:$C$1000,$A17,'Price Data'!$F$5:$F$1000,'Basket of Goods'!$A$11,'Price Data'!$J$5:$J$1000,"Regular")</f>
        <v>0</v>
      </c>
      <c r="I17" s="22" t="n">
        <f aca="false">COUNTIFS('Price Data'!$C$5:$C$1000,$A17,'Price Data'!$F$5:$F$1000,'Basket of Goods'!$A$12,'Price Data'!$J$5:$J$1000,"Regular")</f>
        <v>0</v>
      </c>
      <c r="J17" s="22" t="n">
        <f aca="false">COUNTIFS('Price Data'!$C$5:$C$1000,$A17,'Price Data'!$F$5:$F$1000,'Basket of Goods'!$A$13,'Price Data'!$J$5:$J$1000,"Regular")</f>
        <v>0</v>
      </c>
      <c r="K17" s="22" t="n">
        <f aca="false">COUNTIFS('Price Data'!$C$5:$C$1000,$A17,'Price Data'!$F$5:$F$1000,'Basket of Goods'!$A$14,'Price Data'!$J$5:$J$1000,"Regular")</f>
        <v>0</v>
      </c>
      <c r="L17" s="22" t="n">
        <f aca="false">COUNTIFS('Price Data'!$C$5:$C$1000,$A17,'Price Data'!$F$5:$F$1000,'Basket of Goods'!$A$15,'Price Data'!$J$5:$J$1000,"Regular")</f>
        <v>0</v>
      </c>
      <c r="M17" s="22" t="n">
        <f aca="false">COUNTIFS('Price Data'!$C$5:$C$1000,$A17,'Price Data'!$F$5:$F$1000,'Basket of Goods'!$A$16,'Price Data'!$J$5:$J$1000,"Regular")</f>
        <v>0</v>
      </c>
      <c r="N17" s="22" t="n">
        <f aca="false">COUNTIFS('Price Data'!$C$5:$C$1000,$A17,'Price Data'!$F$5:$F$1000,'Basket of Goods'!$A$17,'Price Data'!$J$5:$J$1000,"Regular")</f>
        <v>0</v>
      </c>
      <c r="O17" s="22" t="n">
        <f aca="false">COUNTIFS('Price Data'!$C$5:$C$1000,$A17,'Price Data'!$F$5:$F$1000,'Basket of Goods'!$A$18,'Price Data'!$J$5:$J$1000,"Regular")</f>
        <v>0</v>
      </c>
      <c r="P17" s="22" t="n">
        <f aca="false">COUNTIFS('Price Data'!$C$5:$C$1000,$A17,'Price Data'!$F$5:$F$1000,'Basket of Goods'!$A$19,'Price Data'!$J$5:$J$1000,"Regular")</f>
        <v>0</v>
      </c>
      <c r="Q17" s="22" t="n">
        <f aca="false">COUNTIFS('Price Data'!$C$5:$C$1000,$A17,'Price Data'!$F$5:$F$1000,'Basket of Goods'!$A$20,'Price Data'!$J$5:$J$1000,"Regular")</f>
        <v>0</v>
      </c>
      <c r="R17" s="22" t="n">
        <f aca="false">COUNTIFS('Price Data'!$C$5:$C$1000,$A17,'Price Data'!$F$5:$F$1000,'Basket of Goods'!$A$21,'Price Data'!$J$5:$J$1000,"Regular")</f>
        <v>0</v>
      </c>
      <c r="S17" s="22" t="n">
        <f aca="false">COUNTIFS('Price Data'!$C$5:$C$1000,$A17,'Price Data'!$F$5:$F$1000,'Basket of Goods'!$A$22,'Price Data'!$J$5:$J$1000,"Regular")</f>
        <v>0</v>
      </c>
      <c r="T17" s="22" t="n">
        <f aca="false">COUNTIFS('Price Data'!$C$5:$C$1000,$A17,'Price Data'!$F$5:$F$1000,'Basket of Goods'!$A$23,'Price Data'!$J$5:$J$1000,"Regular")</f>
        <v>0</v>
      </c>
      <c r="U17" s="22" t="n">
        <f aca="false">COUNTIFS('Price Data'!$C$5:$C$1000,$A17,'Price Data'!$F$5:$F$1000,'Basket of Goods'!$A$24,'Price Data'!$J$5:$J$1000,"Regular")</f>
        <v>0</v>
      </c>
      <c r="V17" s="22" t="n">
        <f aca="false">COUNTIFS('Price Data'!$C$5:$C$1000,$A17,'Price Data'!$F$5:$F$1000,'Basket of Goods'!$A$25,'Price Data'!$J$5:$J$1000,"Regular")</f>
        <v>0</v>
      </c>
      <c r="W17" s="23" t="n">
        <f aca="false">SUM(B17:V17)</f>
        <v>0</v>
      </c>
    </row>
    <row r="18" customFormat="false" ht="15" hidden="false" customHeight="false" outlineLevel="0" collapsed="false">
      <c r="A18" s="21" t="str">
        <f aca="false">'Store List'!A18</f>
        <v>Bodega #1 (choose)</v>
      </c>
      <c r="B18" s="22" t="n">
        <f aca="false">COUNTIFS('Price Data'!$C$5:$C$1000,$A18,'Price Data'!$F$5:$F$1000,'Basket of Goods'!$A$5,'Price Data'!$J$5:$J$1000,"Regular")</f>
        <v>0</v>
      </c>
      <c r="C18" s="22" t="n">
        <f aca="false">COUNTIFS('Price Data'!$C$5:$C$1000,$A18,'Price Data'!$F$5:$F$1000,'Basket of Goods'!$A$6,'Price Data'!$J$5:$J$1000,"Regular")</f>
        <v>0</v>
      </c>
      <c r="D18" s="22" t="n">
        <f aca="false">COUNTIFS('Price Data'!$C$5:$C$1000,$A18,'Price Data'!$F$5:$F$1000,'Basket of Goods'!$A$7,'Price Data'!$J$5:$J$1000,"Regular")</f>
        <v>0</v>
      </c>
      <c r="E18" s="22" t="n">
        <f aca="false">COUNTIFS('Price Data'!$C$5:$C$1000,$A18,'Price Data'!$F$5:$F$1000,'Basket of Goods'!$A$8,'Price Data'!$J$5:$J$1000,"Regular")</f>
        <v>0</v>
      </c>
      <c r="F18" s="22" t="n">
        <f aca="false">COUNTIFS('Price Data'!$C$5:$C$1000,$A18,'Price Data'!$F$5:$F$1000,'Basket of Goods'!$A$9,'Price Data'!$J$5:$J$1000,"Regular")</f>
        <v>0</v>
      </c>
      <c r="G18" s="22" t="n">
        <f aca="false">COUNTIFS('Price Data'!$C$5:$C$1000,$A18,'Price Data'!$F$5:$F$1000,'Basket of Goods'!$A$10,'Price Data'!$J$5:$J$1000,"Regular")</f>
        <v>0</v>
      </c>
      <c r="H18" s="22" t="n">
        <f aca="false">COUNTIFS('Price Data'!$C$5:$C$1000,$A18,'Price Data'!$F$5:$F$1000,'Basket of Goods'!$A$11,'Price Data'!$J$5:$J$1000,"Regular")</f>
        <v>0</v>
      </c>
      <c r="I18" s="22" t="n">
        <f aca="false">COUNTIFS('Price Data'!$C$5:$C$1000,$A18,'Price Data'!$F$5:$F$1000,'Basket of Goods'!$A$12,'Price Data'!$J$5:$J$1000,"Regular")</f>
        <v>0</v>
      </c>
      <c r="J18" s="22" t="n">
        <f aca="false">COUNTIFS('Price Data'!$C$5:$C$1000,$A18,'Price Data'!$F$5:$F$1000,'Basket of Goods'!$A$13,'Price Data'!$J$5:$J$1000,"Regular")</f>
        <v>0</v>
      </c>
      <c r="K18" s="22" t="n">
        <f aca="false">COUNTIFS('Price Data'!$C$5:$C$1000,$A18,'Price Data'!$F$5:$F$1000,'Basket of Goods'!$A$14,'Price Data'!$J$5:$J$1000,"Regular")</f>
        <v>0</v>
      </c>
      <c r="L18" s="22" t="n">
        <f aca="false">COUNTIFS('Price Data'!$C$5:$C$1000,$A18,'Price Data'!$F$5:$F$1000,'Basket of Goods'!$A$15,'Price Data'!$J$5:$J$1000,"Regular")</f>
        <v>0</v>
      </c>
      <c r="M18" s="22" t="n">
        <f aca="false">COUNTIFS('Price Data'!$C$5:$C$1000,$A18,'Price Data'!$F$5:$F$1000,'Basket of Goods'!$A$16,'Price Data'!$J$5:$J$1000,"Regular")</f>
        <v>0</v>
      </c>
      <c r="N18" s="22" t="n">
        <f aca="false">COUNTIFS('Price Data'!$C$5:$C$1000,$A18,'Price Data'!$F$5:$F$1000,'Basket of Goods'!$A$17,'Price Data'!$J$5:$J$1000,"Regular")</f>
        <v>0</v>
      </c>
      <c r="O18" s="22" t="n">
        <f aca="false">COUNTIFS('Price Data'!$C$5:$C$1000,$A18,'Price Data'!$F$5:$F$1000,'Basket of Goods'!$A$18,'Price Data'!$J$5:$J$1000,"Regular")</f>
        <v>0</v>
      </c>
      <c r="P18" s="22" t="n">
        <f aca="false">COUNTIFS('Price Data'!$C$5:$C$1000,$A18,'Price Data'!$F$5:$F$1000,'Basket of Goods'!$A$19,'Price Data'!$J$5:$J$1000,"Regular")</f>
        <v>0</v>
      </c>
      <c r="Q18" s="22" t="n">
        <f aca="false">COUNTIFS('Price Data'!$C$5:$C$1000,$A18,'Price Data'!$F$5:$F$1000,'Basket of Goods'!$A$20,'Price Data'!$J$5:$J$1000,"Regular")</f>
        <v>0</v>
      </c>
      <c r="R18" s="22" t="n">
        <f aca="false">COUNTIFS('Price Data'!$C$5:$C$1000,$A18,'Price Data'!$F$5:$F$1000,'Basket of Goods'!$A$21,'Price Data'!$J$5:$J$1000,"Regular")</f>
        <v>0</v>
      </c>
      <c r="S18" s="22" t="n">
        <f aca="false">COUNTIFS('Price Data'!$C$5:$C$1000,$A18,'Price Data'!$F$5:$F$1000,'Basket of Goods'!$A$22,'Price Data'!$J$5:$J$1000,"Regular")</f>
        <v>0</v>
      </c>
      <c r="T18" s="22" t="n">
        <f aca="false">COUNTIFS('Price Data'!$C$5:$C$1000,$A18,'Price Data'!$F$5:$F$1000,'Basket of Goods'!$A$23,'Price Data'!$J$5:$J$1000,"Regular")</f>
        <v>0</v>
      </c>
      <c r="U18" s="22" t="n">
        <f aca="false">COUNTIFS('Price Data'!$C$5:$C$1000,$A18,'Price Data'!$F$5:$F$1000,'Basket of Goods'!$A$24,'Price Data'!$J$5:$J$1000,"Regular")</f>
        <v>0</v>
      </c>
      <c r="V18" s="22" t="n">
        <f aca="false">COUNTIFS('Price Data'!$C$5:$C$1000,$A18,'Price Data'!$F$5:$F$1000,'Basket of Goods'!$A$25,'Price Data'!$J$5:$J$1000,"Regular")</f>
        <v>0</v>
      </c>
      <c r="W18" s="23" t="n">
        <f aca="false">SUM(B18:V18)</f>
        <v>0</v>
      </c>
    </row>
    <row r="19" customFormat="false" ht="15" hidden="false" customHeight="false" outlineLevel="0" collapsed="false">
      <c r="A19" s="21" t="str">
        <f aca="false">'Store List'!A19</f>
        <v>Bodega #2 (choose)</v>
      </c>
      <c r="B19" s="22" t="n">
        <f aca="false">COUNTIFS('Price Data'!$C$5:$C$1000,$A19,'Price Data'!$F$5:$F$1000,'Basket of Goods'!$A$5,'Price Data'!$J$5:$J$1000,"Regular")</f>
        <v>0</v>
      </c>
      <c r="C19" s="22" t="n">
        <f aca="false">COUNTIFS('Price Data'!$C$5:$C$1000,$A19,'Price Data'!$F$5:$F$1000,'Basket of Goods'!$A$6,'Price Data'!$J$5:$J$1000,"Regular")</f>
        <v>0</v>
      </c>
      <c r="D19" s="22" t="n">
        <f aca="false">COUNTIFS('Price Data'!$C$5:$C$1000,$A19,'Price Data'!$F$5:$F$1000,'Basket of Goods'!$A$7,'Price Data'!$J$5:$J$1000,"Regular")</f>
        <v>0</v>
      </c>
      <c r="E19" s="22" t="n">
        <f aca="false">COUNTIFS('Price Data'!$C$5:$C$1000,$A19,'Price Data'!$F$5:$F$1000,'Basket of Goods'!$A$8,'Price Data'!$J$5:$J$1000,"Regular")</f>
        <v>0</v>
      </c>
      <c r="F19" s="22" t="n">
        <f aca="false">COUNTIFS('Price Data'!$C$5:$C$1000,$A19,'Price Data'!$F$5:$F$1000,'Basket of Goods'!$A$9,'Price Data'!$J$5:$J$1000,"Regular")</f>
        <v>0</v>
      </c>
      <c r="G19" s="22" t="n">
        <f aca="false">COUNTIFS('Price Data'!$C$5:$C$1000,$A19,'Price Data'!$F$5:$F$1000,'Basket of Goods'!$A$10,'Price Data'!$J$5:$J$1000,"Regular")</f>
        <v>0</v>
      </c>
      <c r="H19" s="22" t="n">
        <f aca="false">COUNTIFS('Price Data'!$C$5:$C$1000,$A19,'Price Data'!$F$5:$F$1000,'Basket of Goods'!$A$11,'Price Data'!$J$5:$J$1000,"Regular")</f>
        <v>0</v>
      </c>
      <c r="I19" s="22" t="n">
        <f aca="false">COUNTIFS('Price Data'!$C$5:$C$1000,$A19,'Price Data'!$F$5:$F$1000,'Basket of Goods'!$A$12,'Price Data'!$J$5:$J$1000,"Regular")</f>
        <v>0</v>
      </c>
      <c r="J19" s="22" t="n">
        <f aca="false">COUNTIFS('Price Data'!$C$5:$C$1000,$A19,'Price Data'!$F$5:$F$1000,'Basket of Goods'!$A$13,'Price Data'!$J$5:$J$1000,"Regular")</f>
        <v>0</v>
      </c>
      <c r="K19" s="22" t="n">
        <f aca="false">COUNTIFS('Price Data'!$C$5:$C$1000,$A19,'Price Data'!$F$5:$F$1000,'Basket of Goods'!$A$14,'Price Data'!$J$5:$J$1000,"Regular")</f>
        <v>0</v>
      </c>
      <c r="L19" s="22" t="n">
        <f aca="false">COUNTIFS('Price Data'!$C$5:$C$1000,$A19,'Price Data'!$F$5:$F$1000,'Basket of Goods'!$A$15,'Price Data'!$J$5:$J$1000,"Regular")</f>
        <v>0</v>
      </c>
      <c r="M19" s="22" t="n">
        <f aca="false">COUNTIFS('Price Data'!$C$5:$C$1000,$A19,'Price Data'!$F$5:$F$1000,'Basket of Goods'!$A$16,'Price Data'!$J$5:$J$1000,"Regular")</f>
        <v>0</v>
      </c>
      <c r="N19" s="22" t="n">
        <f aca="false">COUNTIFS('Price Data'!$C$5:$C$1000,$A19,'Price Data'!$F$5:$F$1000,'Basket of Goods'!$A$17,'Price Data'!$J$5:$J$1000,"Regular")</f>
        <v>0</v>
      </c>
      <c r="O19" s="22" t="n">
        <f aca="false">COUNTIFS('Price Data'!$C$5:$C$1000,$A19,'Price Data'!$F$5:$F$1000,'Basket of Goods'!$A$18,'Price Data'!$J$5:$J$1000,"Regular")</f>
        <v>0</v>
      </c>
      <c r="P19" s="22" t="n">
        <f aca="false">COUNTIFS('Price Data'!$C$5:$C$1000,$A19,'Price Data'!$F$5:$F$1000,'Basket of Goods'!$A$19,'Price Data'!$J$5:$J$1000,"Regular")</f>
        <v>0</v>
      </c>
      <c r="Q19" s="22" t="n">
        <f aca="false">COUNTIFS('Price Data'!$C$5:$C$1000,$A19,'Price Data'!$F$5:$F$1000,'Basket of Goods'!$A$20,'Price Data'!$J$5:$J$1000,"Regular")</f>
        <v>0</v>
      </c>
      <c r="R19" s="22" t="n">
        <f aca="false">COUNTIFS('Price Data'!$C$5:$C$1000,$A19,'Price Data'!$F$5:$F$1000,'Basket of Goods'!$A$21,'Price Data'!$J$5:$J$1000,"Regular")</f>
        <v>0</v>
      </c>
      <c r="S19" s="22" t="n">
        <f aca="false">COUNTIFS('Price Data'!$C$5:$C$1000,$A19,'Price Data'!$F$5:$F$1000,'Basket of Goods'!$A$22,'Price Data'!$J$5:$J$1000,"Regular")</f>
        <v>0</v>
      </c>
      <c r="T19" s="22" t="n">
        <f aca="false">COUNTIFS('Price Data'!$C$5:$C$1000,$A19,'Price Data'!$F$5:$F$1000,'Basket of Goods'!$A$23,'Price Data'!$J$5:$J$1000,"Regular")</f>
        <v>0</v>
      </c>
      <c r="U19" s="22" t="n">
        <f aca="false">COUNTIFS('Price Data'!$C$5:$C$1000,$A19,'Price Data'!$F$5:$F$1000,'Basket of Goods'!$A$24,'Price Data'!$J$5:$J$1000,"Regular")</f>
        <v>0</v>
      </c>
      <c r="V19" s="22" t="n">
        <f aca="false">COUNTIFS('Price Data'!$C$5:$C$1000,$A19,'Price Data'!$F$5:$F$1000,'Basket of Goods'!$A$25,'Price Data'!$J$5:$J$1000,"Regular")</f>
        <v>0</v>
      </c>
      <c r="W19" s="23" t="n">
        <f aca="false">SUM(B19:V19)</f>
        <v>0</v>
      </c>
    </row>
    <row r="20" customFormat="false" ht="15" hidden="false" customHeight="false" outlineLevel="0" collapsed="false">
      <c r="A20" s="21" t="str">
        <f aca="false">'Store List'!A20</f>
        <v>Delivery app (if in scope)</v>
      </c>
      <c r="B20" s="22" t="n">
        <f aca="false">COUNTIFS('Price Data'!$C$5:$C$1000,$A20,'Price Data'!$F$5:$F$1000,'Basket of Goods'!$A$5,'Price Data'!$J$5:$J$1000,"Regular")</f>
        <v>0</v>
      </c>
      <c r="C20" s="22" t="n">
        <f aca="false">COUNTIFS('Price Data'!$C$5:$C$1000,$A20,'Price Data'!$F$5:$F$1000,'Basket of Goods'!$A$6,'Price Data'!$J$5:$J$1000,"Regular")</f>
        <v>0</v>
      </c>
      <c r="D20" s="22" t="n">
        <f aca="false">COUNTIFS('Price Data'!$C$5:$C$1000,$A20,'Price Data'!$F$5:$F$1000,'Basket of Goods'!$A$7,'Price Data'!$J$5:$J$1000,"Regular")</f>
        <v>0</v>
      </c>
      <c r="E20" s="22" t="n">
        <f aca="false">COUNTIFS('Price Data'!$C$5:$C$1000,$A20,'Price Data'!$F$5:$F$1000,'Basket of Goods'!$A$8,'Price Data'!$J$5:$J$1000,"Regular")</f>
        <v>0</v>
      </c>
      <c r="F20" s="22" t="n">
        <f aca="false">COUNTIFS('Price Data'!$C$5:$C$1000,$A20,'Price Data'!$F$5:$F$1000,'Basket of Goods'!$A$9,'Price Data'!$J$5:$J$1000,"Regular")</f>
        <v>0</v>
      </c>
      <c r="G20" s="22" t="n">
        <f aca="false">COUNTIFS('Price Data'!$C$5:$C$1000,$A20,'Price Data'!$F$5:$F$1000,'Basket of Goods'!$A$10,'Price Data'!$J$5:$J$1000,"Regular")</f>
        <v>0</v>
      </c>
      <c r="H20" s="22" t="n">
        <f aca="false">COUNTIFS('Price Data'!$C$5:$C$1000,$A20,'Price Data'!$F$5:$F$1000,'Basket of Goods'!$A$11,'Price Data'!$J$5:$J$1000,"Regular")</f>
        <v>0</v>
      </c>
      <c r="I20" s="22" t="n">
        <f aca="false">COUNTIFS('Price Data'!$C$5:$C$1000,$A20,'Price Data'!$F$5:$F$1000,'Basket of Goods'!$A$12,'Price Data'!$J$5:$J$1000,"Regular")</f>
        <v>0</v>
      </c>
      <c r="J20" s="22" t="n">
        <f aca="false">COUNTIFS('Price Data'!$C$5:$C$1000,$A20,'Price Data'!$F$5:$F$1000,'Basket of Goods'!$A$13,'Price Data'!$J$5:$J$1000,"Regular")</f>
        <v>0</v>
      </c>
      <c r="K20" s="22" t="n">
        <f aca="false">COUNTIFS('Price Data'!$C$5:$C$1000,$A20,'Price Data'!$F$5:$F$1000,'Basket of Goods'!$A$14,'Price Data'!$J$5:$J$1000,"Regular")</f>
        <v>0</v>
      </c>
      <c r="L20" s="22" t="n">
        <f aca="false">COUNTIFS('Price Data'!$C$5:$C$1000,$A20,'Price Data'!$F$5:$F$1000,'Basket of Goods'!$A$15,'Price Data'!$J$5:$J$1000,"Regular")</f>
        <v>0</v>
      </c>
      <c r="M20" s="22" t="n">
        <f aca="false">COUNTIFS('Price Data'!$C$5:$C$1000,$A20,'Price Data'!$F$5:$F$1000,'Basket of Goods'!$A$16,'Price Data'!$J$5:$J$1000,"Regular")</f>
        <v>0</v>
      </c>
      <c r="N20" s="22" t="n">
        <f aca="false">COUNTIFS('Price Data'!$C$5:$C$1000,$A20,'Price Data'!$F$5:$F$1000,'Basket of Goods'!$A$17,'Price Data'!$J$5:$J$1000,"Regular")</f>
        <v>0</v>
      </c>
      <c r="O20" s="22" t="n">
        <f aca="false">COUNTIFS('Price Data'!$C$5:$C$1000,$A20,'Price Data'!$F$5:$F$1000,'Basket of Goods'!$A$18,'Price Data'!$J$5:$J$1000,"Regular")</f>
        <v>0</v>
      </c>
      <c r="P20" s="22" t="n">
        <f aca="false">COUNTIFS('Price Data'!$C$5:$C$1000,$A20,'Price Data'!$F$5:$F$1000,'Basket of Goods'!$A$19,'Price Data'!$J$5:$J$1000,"Regular")</f>
        <v>0</v>
      </c>
      <c r="Q20" s="22" t="n">
        <f aca="false">COUNTIFS('Price Data'!$C$5:$C$1000,$A20,'Price Data'!$F$5:$F$1000,'Basket of Goods'!$A$20,'Price Data'!$J$5:$J$1000,"Regular")</f>
        <v>0</v>
      </c>
      <c r="R20" s="22" t="n">
        <f aca="false">COUNTIFS('Price Data'!$C$5:$C$1000,$A20,'Price Data'!$F$5:$F$1000,'Basket of Goods'!$A$21,'Price Data'!$J$5:$J$1000,"Regular")</f>
        <v>0</v>
      </c>
      <c r="S20" s="22" t="n">
        <f aca="false">COUNTIFS('Price Data'!$C$5:$C$1000,$A20,'Price Data'!$F$5:$F$1000,'Basket of Goods'!$A$22,'Price Data'!$J$5:$J$1000,"Regular")</f>
        <v>0</v>
      </c>
      <c r="T20" s="22" t="n">
        <f aca="false">COUNTIFS('Price Data'!$C$5:$C$1000,$A20,'Price Data'!$F$5:$F$1000,'Basket of Goods'!$A$23,'Price Data'!$J$5:$J$1000,"Regular")</f>
        <v>0</v>
      </c>
      <c r="U20" s="22" t="n">
        <f aca="false">COUNTIFS('Price Data'!$C$5:$C$1000,$A20,'Price Data'!$F$5:$F$1000,'Basket of Goods'!$A$24,'Price Data'!$J$5:$J$1000,"Regular")</f>
        <v>0</v>
      </c>
      <c r="V20" s="22" t="n">
        <f aca="false">COUNTIFS('Price Data'!$C$5:$C$1000,$A20,'Price Data'!$F$5:$F$1000,'Basket of Goods'!$A$25,'Price Data'!$J$5:$J$1000,"Regular")</f>
        <v>0</v>
      </c>
      <c r="W20" s="23" t="n">
        <f aca="false">SUM(B20:V20)</f>
        <v>0</v>
      </c>
    </row>
  </sheetData>
  <mergeCells count="2">
    <mergeCell ref="A1:F1"/>
    <mergeCell ref="A2:F2"/>
  </mergeCells>
  <conditionalFormatting sqref="B5:V20">
    <cfRule type="cellIs" priority="2" operator="equal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2026-07-07T10:35:39Z</dcterms:created>
  <dc:creator>openpyxl</dc:creator>
  <dc:description/>
  <dc:language>en-US</dc:language>
  <cp:lastModifiedBy/>
  <dcterms:modified xsi:type="dcterms:W3CDTF">2026-07-07T10:35:39Z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